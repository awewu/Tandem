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<sst xmlns="http://schemas.openxmlformats.org/spreadsheetml/2006/main" count="1634" uniqueCount="324">
  <si>
    <t>一、HR职能岗位</t>
  </si>
  <si>
    <t>岗族</t>
  </si>
  <si>
    <t>技能库</t>
  </si>
  <si>
    <t>技能工资标准（元）</t>
  </si>
  <si>
    <t>L1</t>
  </si>
  <si>
    <t>L1A</t>
  </si>
  <si>
    <t>L2</t>
  </si>
  <si>
    <t>L3</t>
  </si>
  <si>
    <t>L4</t>
  </si>
  <si>
    <t>L5</t>
  </si>
  <si>
    <t>标准来源</t>
  </si>
  <si>
    <t>HRBP</t>
  </si>
  <si>
    <t>1、制定人才画像</t>
  </si>
  <si>
    <t>V</t>
  </si>
  <si>
    <t>案例佐证</t>
  </si>
  <si>
    <t>2、实施培训项目</t>
  </si>
  <si>
    <t>3、独立处理劳动纠纷</t>
  </si>
  <si>
    <t>4、绩效闭环管理</t>
  </si>
  <si>
    <t>5、制定人才发展计划</t>
  </si>
  <si>
    <t>6、独立牵头人才盘点</t>
  </si>
  <si>
    <t>7、独立牵头完成组织诊断</t>
  </si>
  <si>
    <t>8、设计绩效激励</t>
  </si>
  <si>
    <t>9、独立牵头完成组织设计</t>
  </si>
  <si>
    <t>10、战略解码</t>
  </si>
  <si>
    <t>合计</t>
  </si>
  <si>
    <t>1、行政管理能力：熟练应用办公室管理流程，包括文件管理、数据整理和报告准备</t>
  </si>
  <si>
    <t>总助</t>
  </si>
  <si>
    <t>2、具备PPT制作能力，且能够协助起草文件、报告等</t>
  </si>
  <si>
    <t>3、英文听说读写</t>
  </si>
  <si>
    <t xml:space="preserve">4、PDCA管理 </t>
  </si>
  <si>
    <t>5、高阶项目管理</t>
  </si>
  <si>
    <t>6、理解公司财务报表与商业模型</t>
  </si>
  <si>
    <t>7、分析市场趋势和竞争对手动态</t>
  </si>
  <si>
    <t>8、参与战略制定</t>
  </si>
  <si>
    <t>9、参与战略解码</t>
  </si>
  <si>
    <t>10、主导战略执行及落地追踪</t>
  </si>
  <si>
    <t>法务</t>
  </si>
  <si>
    <t>1、法律文书攥写</t>
  </si>
  <si>
    <t>2、智能法律工具</t>
  </si>
  <si>
    <t>3、纠纷处理</t>
  </si>
  <si>
    <t>4、建立维护公司合规体系及培训</t>
  </si>
  <si>
    <t>5、公司关停、设立、并转</t>
  </si>
  <si>
    <t>6、股权设计</t>
  </si>
  <si>
    <t>SSC</t>
  </si>
  <si>
    <t>1、流程制度建设</t>
  </si>
  <si>
    <t>2、EHR系统运营</t>
  </si>
  <si>
    <t>3、流程设计及梳理</t>
  </si>
  <si>
    <t>4、薪酬管理及实操</t>
  </si>
  <si>
    <t>5、预算管理</t>
  </si>
  <si>
    <t>6、人力成本分析</t>
  </si>
  <si>
    <t>7、人力资源服务平台搭建</t>
  </si>
  <si>
    <t>培训</t>
  </si>
  <si>
    <t>1、培训落地实施，能协助执行一场培训的落地实施</t>
  </si>
  <si>
    <t>2、能够熟练使用办公软件，进行培训资料的整理和制作</t>
  </si>
  <si>
    <t>3、培训宣传（独立完成培训宣传内容及总结，照片、视频处理能力）</t>
  </si>
  <si>
    <t>4、能运营培训技术提升培训效果（如头脑风暴、拓展训练、思维训练等）</t>
  </si>
  <si>
    <t>5、高阶项目管理能力，包含需求调研、内容设计、实施、评价和总结</t>
  </si>
  <si>
    <t>6、课程开发与授课，具备2门及以上课程开发及讲授能力</t>
  </si>
  <si>
    <t>7、资源整合（讲师资源、课程资源、设施资源等）</t>
  </si>
  <si>
    <t>8、培训体系搭建（制度、讲师、课程、考核及评估全体系）</t>
  </si>
  <si>
    <t>二、财务职能岗位</t>
  </si>
  <si>
    <t>出纳</t>
  </si>
  <si>
    <t>1、合规的财务档案管理</t>
  </si>
  <si>
    <t>2、独立纳税申报</t>
  </si>
  <si>
    <t>开发</t>
  </si>
  <si>
    <t>核算会计</t>
  </si>
  <si>
    <t>1.  公司制度及税务合规要求下的账务处理</t>
  </si>
  <si>
    <t xml:space="preserve">1.  需要财务判断的特殊核算处理 </t>
  </si>
  <si>
    <t>3.  异常科目风险分析及闭环管理能力</t>
  </si>
  <si>
    <t>5.  复杂Excel数据处理及可视化报表分析</t>
  </si>
  <si>
    <t>4.  主导跨部门的财务培训</t>
  </si>
  <si>
    <t>工程服务</t>
  </si>
  <si>
    <t>成本会计</t>
  </si>
  <si>
    <t>1.  基于财务判断的特殊成本项目处理 （存货减值等）</t>
  </si>
  <si>
    <t>2.  标准成本法的运用及基本差异分析</t>
  </si>
  <si>
    <t>3.  成本的计划执行及分析</t>
  </si>
  <si>
    <t>5.  采购及库存流程的风险识别</t>
  </si>
  <si>
    <t>4.  库存周期管理</t>
  </si>
  <si>
    <t>6.  采购及库存流程设计</t>
  </si>
  <si>
    <t>7.  重要材料/制程浪费识别；</t>
  </si>
  <si>
    <t>8.  主导跨部门核心成本项目；</t>
  </si>
  <si>
    <t>9. 行业理论成本及库存模型设计</t>
  </si>
  <si>
    <t>技术支持</t>
  </si>
  <si>
    <t>总账会计</t>
  </si>
  <si>
    <t>1.  中国会计准则下财务报表编制</t>
  </si>
  <si>
    <t>2.  复杂交易业务会计处理，及准则变更下的会计处理</t>
  </si>
  <si>
    <t>3.  公司账务（税务）合规及/内控风险识别</t>
  </si>
  <si>
    <t>4.  税务合规及风险识别</t>
  </si>
  <si>
    <t>5.  英文口语交流</t>
  </si>
  <si>
    <t>6.  全面对接审计及第三方业务处理能力</t>
  </si>
  <si>
    <t>7.  GAAP 准则运用及报表编制</t>
  </si>
  <si>
    <t>8.  经营业务的税务筹划建议</t>
  </si>
  <si>
    <t>9.  报表体系及业务流程设计</t>
  </si>
  <si>
    <t>FP&amp;A</t>
  </si>
  <si>
    <t>1.  日常业务及单一财务模型搭建</t>
  </si>
  <si>
    <t>2.  财务预算差异分析</t>
  </si>
  <si>
    <t>3.  预算执行</t>
  </si>
  <si>
    <t>4.  预算报表编制</t>
  </si>
  <si>
    <t>7.  英文口语交流</t>
  </si>
  <si>
    <t>6.  关键业绩指标识别及设计</t>
  </si>
  <si>
    <t>7.  中期业绩及关键绩效预警</t>
  </si>
  <si>
    <t>8.  复杂/综合财务分析模型搭建（损益，资产负债，现金流）</t>
  </si>
  <si>
    <t>9.  预算管理流程编制及管理构架设计</t>
  </si>
  <si>
    <t>10.  财务业绩管理</t>
  </si>
  <si>
    <t>11. 战略及资源配置筹划</t>
  </si>
  <si>
    <t>三、生产职能岗位</t>
  </si>
  <si>
    <t>采购</t>
  </si>
  <si>
    <t>1、能熟练讲解产品图纸</t>
  </si>
  <si>
    <t>2、可主导编制采购计划</t>
  </si>
  <si>
    <t>3、具有供应商管理能力并能独立开发B级以上优质供应商</t>
  </si>
  <si>
    <t>4、可独立整合资源主导降本项目</t>
  </si>
  <si>
    <t>5、可发现供应链管理的风险点及改进机会并推动完善包括ERP系统优化</t>
  </si>
  <si>
    <t>5、CSCP证书</t>
  </si>
  <si>
    <t>市场定价</t>
  </si>
  <si>
    <t>7、分析不同行业发展，主导供应商选择&amp;采购策略搭建</t>
  </si>
  <si>
    <t>计划</t>
  </si>
  <si>
    <t>1、根据客户需求，熟练进行系统操作</t>
  </si>
  <si>
    <t>2、高阶EXCEL使用</t>
  </si>
  <si>
    <t>3、能讲解生产流程</t>
  </si>
  <si>
    <t>4、独立编制主生产计划</t>
  </si>
  <si>
    <t>5、项目管理能力（PDCA)</t>
  </si>
  <si>
    <t>6、独立编制执行结果分析报告</t>
  </si>
  <si>
    <t>工艺</t>
  </si>
  <si>
    <t>1、具有独立策划编制PWI能力并指导一线实际操作</t>
  </si>
  <si>
    <t>2、能挖掘B类工艺改进机会并组织协调资源进行工艺改进</t>
  </si>
  <si>
    <t>3、独立主导新产品量产工艺实现</t>
  </si>
  <si>
    <t>4、具有产线规划设计能力</t>
  </si>
  <si>
    <t>5、使用IE工具提升生产能力</t>
  </si>
  <si>
    <t>6、可主导A类工艺项目</t>
  </si>
  <si>
    <t>7、导入并推广新工艺</t>
  </si>
  <si>
    <t>8、新工艺创新解决行业难题</t>
  </si>
  <si>
    <t>设备</t>
  </si>
  <si>
    <t>1、具有设备维护保养的实操案例</t>
  </si>
  <si>
    <t>2、可编制设备维护手册并指导一线实施</t>
  </si>
  <si>
    <t>3、可对设备进行基础（工装夹具）改造</t>
  </si>
  <si>
    <t>4、具备机电一体化能力</t>
  </si>
  <si>
    <t>5、PLC编程能力</t>
  </si>
  <si>
    <t>6、具有机器人编程及调试能力</t>
  </si>
  <si>
    <t>7、可进行设备性能、结构、重新改良的改造</t>
  </si>
  <si>
    <t>8、可设计设备、产线</t>
  </si>
  <si>
    <t>模具</t>
  </si>
  <si>
    <t>1、具有模具维护保养的实操能力</t>
  </si>
  <si>
    <t>2、可对模具进行改良性设计</t>
  </si>
  <si>
    <t>3、可编制推进模具维保计划</t>
  </si>
  <si>
    <t>4、可三维建模</t>
  </si>
  <si>
    <t>5、可独立设计模具</t>
  </si>
  <si>
    <t>6、可确定模具加工工艺，并优化成本</t>
  </si>
  <si>
    <t>7、可对模具设计、加工、进行评审，并给出最优方案</t>
  </si>
  <si>
    <t>8、主导模具管理规范及设计标准，并可进行设备选型</t>
  </si>
  <si>
    <t>质量</t>
  </si>
  <si>
    <t>1、应用专业的统计分析工具发现问题并解决</t>
  </si>
  <si>
    <t>2、可编制检验规范（QWI、零部件、终检等）</t>
  </si>
  <si>
    <t>3、具有协调资源推动质量问题有效改善的能力</t>
  </si>
  <si>
    <t>4、具有编制分段质控计划的能力</t>
  </si>
  <si>
    <t>5、可推动A类质量改进项目</t>
  </si>
  <si>
    <t>6、具有独立策划单品类质控计划并推进实施的能力</t>
  </si>
  <si>
    <t>7、可对新品类产品进行质量策划并推动全过程质控计划的实施</t>
  </si>
  <si>
    <t>8、深刻理解产品及行业标准，可建立产品的实验验证设计</t>
  </si>
  <si>
    <t>EHS</t>
  </si>
  <si>
    <t>1、具有组织能力，能发动各部门发现安全隐患并推动整改</t>
  </si>
  <si>
    <t>2、具有安全专业培训的能力</t>
  </si>
  <si>
    <t>3、具有独立对接政府管理部门的能力</t>
  </si>
  <si>
    <t>4、具有安全管理规范统筹编制能力</t>
  </si>
  <si>
    <t>5、考取国家注册安全工程师证书</t>
  </si>
  <si>
    <t>6、主导建立科学的安全管理体系</t>
  </si>
  <si>
    <t>四、研发职能岗位</t>
  </si>
  <si>
    <t>1. 掌握负责品类的产品国家/行业标准</t>
  </si>
  <si>
    <t>2. 独立处理产品工程变更</t>
  </si>
  <si>
    <t>3. 独立承担结构设计（关键零部件/复杂零部件）</t>
  </si>
  <si>
    <t>4. 独立承接C类开发项目</t>
  </si>
  <si>
    <t>5. 独立开展品类全性能测试</t>
  </si>
  <si>
    <t>6. 独立承接B类开发项目</t>
  </si>
  <si>
    <t>7.行业难题攻坚能力</t>
  </si>
  <si>
    <t>8. 独立承接A类开发项目</t>
  </si>
  <si>
    <t>9. 新技术导入</t>
  </si>
  <si>
    <t>10. 参与行业标准制定</t>
  </si>
  <si>
    <t>DT</t>
  </si>
  <si>
    <t>1.面向对象编程</t>
  </si>
  <si>
    <t>2.内部系统部署运维能力</t>
  </si>
  <si>
    <t>3.独立设计数据库业务能力</t>
  </si>
  <si>
    <t>4.开发BI数据系统</t>
  </si>
  <si>
    <t>5.外部SAAS软件系统的技术对接能力</t>
  </si>
  <si>
    <t>6.独立完成B类系统项目</t>
  </si>
  <si>
    <t>7.全栈开发能力</t>
  </si>
  <si>
    <t>8.部署CI/CD开发系统</t>
  </si>
  <si>
    <t>9.输出项目技术方案书</t>
  </si>
  <si>
    <t>10.技术方案战略制定能力</t>
  </si>
  <si>
    <t>DT项目经理</t>
  </si>
  <si>
    <t>1.独立主导对接第三方系统业务</t>
  </si>
  <si>
    <t>2.项目协调管理并完成闭环交付</t>
  </si>
  <si>
    <t>3.公司现存业务流程梳理与优化能力</t>
  </si>
  <si>
    <t>4.数字化产品原型设计能力</t>
  </si>
  <si>
    <t>5.输出项目建设方案书</t>
  </si>
  <si>
    <t>6.敏捷组织打造与敏捷交付排期规划</t>
  </si>
  <si>
    <t>7.新数字化生产工具引入</t>
  </si>
  <si>
    <t>8.业务战略理解能力拆分</t>
  </si>
  <si>
    <t>9.跨二级组织协调管理能力</t>
  </si>
  <si>
    <t>10.制定公司数字化战略及实践</t>
  </si>
  <si>
    <t>电控系统</t>
  </si>
  <si>
    <t>1.测试数据分析能力</t>
  </si>
  <si>
    <t>2.测试排期规划及生产问题解决</t>
  </si>
  <si>
    <t>3.按照规格书，使用手册完成产品测试方案设计</t>
  </si>
  <si>
    <t>4.主导系统设计规格书/图集</t>
  </si>
  <si>
    <t>5.独立设计系统测试用例</t>
  </si>
  <si>
    <t>6.主导完成B类项目</t>
  </si>
  <si>
    <t>7.指导研发做符合性设计</t>
  </si>
  <si>
    <t>8.主导完成A类项目</t>
  </si>
  <si>
    <t>9.创新组合现有产品，提升整体解决方案能力</t>
  </si>
  <si>
    <t>10.快速承接输出项目规格书</t>
  </si>
  <si>
    <t>电控软件</t>
  </si>
  <si>
    <t>1.使用操作系统开发智能硬件能力</t>
  </si>
  <si>
    <t>2.电控类产品外设协议驱动开发调试</t>
  </si>
  <si>
    <t>3.智能化产品平台接入</t>
  </si>
  <si>
    <t>4.主导完成B类项目</t>
  </si>
  <si>
    <t>5.满足业务需求的应用开发能力</t>
  </si>
  <si>
    <t>6.产品接入第三方平台的设计和开发能力</t>
  </si>
  <si>
    <t>7.主导完成A类项目</t>
  </si>
  <si>
    <t>8.独立完成软件项目方案书</t>
  </si>
  <si>
    <t>9.新老硬件平台迁移软件移植能力</t>
  </si>
  <si>
    <t>10.嵌入式边缘计算数据及业务模型设计</t>
  </si>
  <si>
    <t>电控硬件</t>
  </si>
  <si>
    <t>1.核心电控部件选型</t>
  </si>
  <si>
    <t>2.BOM及生产资料设计</t>
  </si>
  <si>
    <t>3.专业测试工具使用</t>
  </si>
  <si>
    <t>4.DFX(Design for x)设计能力</t>
  </si>
  <si>
    <t>5.主导完成B类项目</t>
  </si>
  <si>
    <t>6.指导研发做符合性设计</t>
  </si>
  <si>
    <t>8.新材料、新技术、新方案设计导入</t>
  </si>
  <si>
    <t>1. 掌握相关品类产品知识，能提供公司产品技术支持服务,包括咨询解答、产品培训</t>
  </si>
  <si>
    <t>2. 输出产品培训相关课件并能主导培训</t>
  </si>
  <si>
    <t>3. 能提供公司产品技术支持服务,包括技术指导、故障分析和排除</t>
  </si>
  <si>
    <t>4. 配合完成项目现场安装，调试和验收</t>
  </si>
  <si>
    <t>5. 主导项目系统设计图纸方案的审核</t>
  </si>
  <si>
    <t>6. 主导完成产品标准系统设计应用方案的输出</t>
  </si>
  <si>
    <t>7. 独立推动产品和系统的优化和改进</t>
  </si>
  <si>
    <t>8. 主导完成全品类产品标准系统设计应用方案的输出</t>
  </si>
  <si>
    <t>产品管理</t>
  </si>
  <si>
    <t>1.产品生命周期管理</t>
  </si>
  <si>
    <t>2.需求收集</t>
  </si>
  <si>
    <t>3.竞品分析</t>
  </si>
  <si>
    <t>4.用户调研及需求分析</t>
  </si>
  <si>
    <t>5.项目管理</t>
  </si>
  <si>
    <t>6.行业分析</t>
  </si>
  <si>
    <t>7.商业分析</t>
  </si>
  <si>
    <t>工业设计</t>
  </si>
  <si>
    <t>1.产品外观设计输出</t>
  </si>
  <si>
    <t>2.3D建模结构设计</t>
  </si>
  <si>
    <t>3.材料选择</t>
  </si>
  <si>
    <t>4. 工艺实现决策</t>
  </si>
  <si>
    <t>5. 公司产品VI标准制定</t>
  </si>
  <si>
    <t>IT</t>
  </si>
  <si>
    <t>1.IT设备系统配置与安全软件配置</t>
  </si>
  <si>
    <t>2.运维配置公司OA\CRM\ERP等软件系统</t>
  </si>
  <si>
    <t>3.公司网络安全管理</t>
  </si>
  <si>
    <t>4.集团IT业务沟通与本地化导入</t>
  </si>
  <si>
    <t>5.IT标准化软件合规性决策风险规避与管理</t>
  </si>
  <si>
    <t>6.信息化系统框架方案设计</t>
  </si>
  <si>
    <t>1. 物料标准化管理</t>
  </si>
  <si>
    <t>2. 工程变更执行跟踪与闭环管理</t>
  </si>
  <si>
    <t>3. 流程改进与优化</t>
  </si>
  <si>
    <t>4. 研发流程管理</t>
  </si>
  <si>
    <t>5. 研发效率分析与改善</t>
  </si>
  <si>
    <t>6. 敏捷开发流程导入</t>
  </si>
  <si>
    <t>五、营销职能岗位</t>
  </si>
  <si>
    <t>1、掌握全品类产品主要特性，并能培训</t>
  </si>
  <si>
    <t>2、独立完成常规集成系统方案设计（冷暖风水），输出方案选型及设计图纸</t>
  </si>
  <si>
    <t>3、具备独立完成产品及系统课程编制及培训能力</t>
  </si>
  <si>
    <t>4、掌握系统常见应用材料特性，能够根据系统需求选取适宜的主材</t>
  </si>
  <si>
    <t>5、具备行业竞品及系统的研读分析能力，输出分析报告</t>
  </si>
  <si>
    <t>6、主导完成系统设计施工标准的制定</t>
  </si>
  <si>
    <t>7、新工艺新材料导入能力，并能进行工艺、工具等创新</t>
  </si>
  <si>
    <t>8、行业发展洞察，结合市场需求，输出差异化解决方案，并能进行推广落地</t>
  </si>
  <si>
    <t>9、获聘成为行业技术顾问/专家</t>
  </si>
  <si>
    <t>10、参与国标/行标等标准制定</t>
  </si>
  <si>
    <t>市场营销</t>
  </si>
  <si>
    <t>1、市场调研</t>
  </si>
  <si>
    <t>2、市场活动组织实施</t>
  </si>
  <si>
    <t>3、产品推广策略制定</t>
  </si>
  <si>
    <t>4、市场营销活动方案及主题活动方案制定</t>
  </si>
  <si>
    <t>5、产品及业务消费者培训体系打造</t>
  </si>
  <si>
    <t>6、多类型活动策划、推广方案和规则的输出和培训</t>
  </si>
  <si>
    <t>7、市场预测及情报分析，能为销售决策提供依据</t>
  </si>
  <si>
    <t>数字营销</t>
  </si>
  <si>
    <t>售后服务</t>
  </si>
  <si>
    <t>1、掌握全品类产品的安装调试维修标准，并能完成常见问题处理</t>
  </si>
  <si>
    <t>2、独立完成客诉处理</t>
  </si>
  <si>
    <t>3、具备产品类服务课程的编制及培训能力</t>
  </si>
  <si>
    <t>4、熟悉各类集成系统，并能对常见问题进行判断及处理</t>
  </si>
  <si>
    <t>5、能够结合售后问题，对产品提出创新改进方案，并被用于新品改进</t>
  </si>
  <si>
    <t>6、能够处理各类疑难杂症问题</t>
  </si>
  <si>
    <t>产品经理</t>
  </si>
  <si>
    <t>1、竞品分析，完成主流竞品的分析报告及FABE对比提炼</t>
  </si>
  <si>
    <t>2、独立完成B\C类产品的立项并跟进推动完成上市</t>
  </si>
  <si>
    <t>3、结合市场调研，完成新品的需求分析并立项，跟进推动完成上市发布</t>
  </si>
  <si>
    <t>4、产品定价及市场价格策略制定，并能结合市场变化及时调整</t>
  </si>
  <si>
    <t>5、分渠道分区域，产品组合策略制定，并能结合市场变化及时调整</t>
  </si>
  <si>
    <t>6、结合市场反馈，主导产品的客户满意度提升策略制定（质量改进等）</t>
  </si>
  <si>
    <t>7、结合行业趋势及报告，规划产品发展路径，完成产品路线图输出</t>
  </si>
  <si>
    <t>市场</t>
  </si>
  <si>
    <t>运营管理/信息管理/销售助理</t>
  </si>
  <si>
    <t>1、熟练掌握办公软件和工具（如：Excel/PPT)</t>
  </si>
  <si>
    <t>2、PDCA管理闭环</t>
  </si>
  <si>
    <t>3、会务组织和协调能力</t>
  </si>
  <si>
    <t>4、大客户管理能力</t>
  </si>
  <si>
    <t>5、制定销售政策能力</t>
  </si>
  <si>
    <t>6、业务运营逻辑，流程改善及制定</t>
  </si>
  <si>
    <t>销售支持</t>
  </si>
  <si>
    <t>电商运营</t>
  </si>
  <si>
    <t>1、线上活动运营</t>
  </si>
  <si>
    <t>2、产品流量监控及引流</t>
  </si>
  <si>
    <t>3、内容架构及产品优化</t>
  </si>
  <si>
    <t>4、营销策略制定</t>
  </si>
  <si>
    <t>5、产品运营模式</t>
  </si>
  <si>
    <t>设计</t>
  </si>
  <si>
    <t>1、理解设计目标与需求，有分析意识</t>
  </si>
  <si>
    <t>2、保持品牌一致性，具备产品意识</t>
  </si>
  <si>
    <t>3、有独立创作主画面的能力</t>
  </si>
  <si>
    <t>4、项目管理（提前识别项目风险，提高确定性）</t>
  </si>
  <si>
    <t>4、行业获奖</t>
  </si>
  <si>
    <t>设计院推广</t>
  </si>
  <si>
    <t>1、CAD软件熟练使用</t>
  </si>
  <si>
    <t>2、系统方案应用</t>
  </si>
  <si>
    <t>3、渠道产品策略</t>
  </si>
  <si>
    <t>4、智能混动方案应用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</si>
</sst>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微软雅黑"/>
      <charset val="134"/>
    </font>
    <font>
      <sz val="10"/>
      <color indexed="8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color theme="0"/>
      <name val="微软雅黑"/>
      <charset val="134"/>
    </font>
    <font>
      <b/>
      <sz val="11"/>
      <color theme="0"/>
      <name val="微软雅黑"/>
      <charset val="134"/>
    </font>
    <font>
      <b/>
      <sz val="10"/>
      <color indexed="8"/>
      <name val="宋体"/>
      <charset val="134"/>
      <scheme val="minor"/>
    </font>
    <font>
      <sz val="11"/>
      <name val="宋体"/>
      <charset val="134"/>
      <scheme val="minor"/>
    </font>
    <font>
      <sz val="10"/>
      <name val="微软雅黑"/>
      <charset val="134"/>
    </font>
    <font>
      <b/>
      <sz val="11"/>
      <color indexed="8"/>
      <name val="微软雅黑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5" borderId="11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12">
      <alignment vertical="center"/>
    </xf>
    <xf numFmtId="0" fontId="20" fillId="0" borderId="12">
      <alignment vertical="center"/>
    </xf>
    <xf numFmtId="0" fontId="21" fillId="0" borderId="13">
      <alignment vertical="center"/>
    </xf>
    <xf numFmtId="0" fontId="21" fillId="0" borderId="0">
      <alignment vertical="center"/>
    </xf>
    <xf numFmtId="0" fontId="22" fillId="6" borderId="14">
      <alignment vertical="center"/>
    </xf>
    <xf numFmtId="0" fontId="23" fillId="7" borderId="15">
      <alignment vertical="center"/>
    </xf>
    <xf numFmtId="0" fontId="24" fillId="7" borderId="14">
      <alignment vertical="center"/>
    </xf>
    <xf numFmtId="0" fontId="25" fillId="8" borderId="16">
      <alignment vertical="center"/>
    </xf>
    <xf numFmtId="0" fontId="26" fillId="0" borderId="17">
      <alignment vertical="center"/>
    </xf>
    <xf numFmtId="0" fontId="27" fillId="0" borderId="18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2" fillId="13" borderId="0">
      <alignment vertical="center"/>
    </xf>
    <xf numFmtId="0" fontId="32" fillId="14" borderId="0">
      <alignment vertical="center"/>
    </xf>
    <xf numFmtId="0" fontId="31" fillId="15" borderId="0">
      <alignment vertical="center"/>
    </xf>
    <xf numFmtId="0" fontId="31" fillId="16" borderId="0">
      <alignment vertical="center"/>
    </xf>
    <xf numFmtId="0" fontId="32" fillId="17" borderId="0">
      <alignment vertical="center"/>
    </xf>
    <xf numFmtId="0" fontId="32" fillId="18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2" fillId="21" borderId="0">
      <alignment vertical="center"/>
    </xf>
    <xf numFmtId="0" fontId="32" fillId="22" borderId="0">
      <alignment vertical="center"/>
    </xf>
    <xf numFmtId="0" fontId="31" fillId="23" borderId="0">
      <alignment vertical="center"/>
    </xf>
    <xf numFmtId="0" fontId="31" fillId="24" borderId="0">
      <alignment vertical="center"/>
    </xf>
    <xf numFmtId="0" fontId="32" fillId="25" borderId="0">
      <alignment vertical="center"/>
    </xf>
    <xf numFmtId="0" fontId="32" fillId="26" borderId="0">
      <alignment vertical="center"/>
    </xf>
    <xf numFmtId="0" fontId="31" fillId="27" borderId="0">
      <alignment vertical="center"/>
    </xf>
    <xf numFmtId="0" fontId="31" fillId="2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1" fillId="31" borderId="0">
      <alignment vertical="center"/>
    </xf>
    <xf numFmtId="0" fontId="31" fillId="32" borderId="0">
      <alignment vertical="center"/>
    </xf>
    <xf numFmtId="0" fontId="32" fillId="33" borderId="0">
      <alignment vertical="center"/>
    </xf>
    <xf numFmtId="0" fontId="32" fillId="34" borderId="0">
      <alignment vertical="center"/>
    </xf>
    <xf numFmtId="0" fontId="31" fillId="35" borderId="0">
      <alignment vertical="center"/>
    </xf>
    <xf numFmtId="0" fontId="33" fillId="0" borderId="0">
      <alignment vertical="center"/>
    </xf>
  </cellStyleXfs>
  <cellXfs count="58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49" applyFont="1" applyFill="1" applyAlignment="1">
      <alignment horizontal="left" vertical="center"/>
    </xf>
    <xf numFmtId="0" fontId="4" fillId="2" borderId="0" xfId="49" applyFont="1" applyFill="1" applyAlignment="1">
      <alignment vertical="center" wrapText="1"/>
    </xf>
    <xf numFmtId="0" fontId="4" fillId="2" borderId="0" xfId="49" applyFont="1" applyFill="1" applyAlignment="1">
      <alignment horizontal="center" vertical="center" wrapText="1"/>
    </xf>
    <xf numFmtId="0" fontId="5" fillId="2" borderId="0" xfId="49" applyFont="1" applyFill="1" applyAlignment="1">
      <alignment horizontal="center" vertical="center" wrapText="1"/>
    </xf>
    <xf numFmtId="0" fontId="6" fillId="3" borderId="1" xfId="49" applyFont="1" applyFill="1" applyBorder="1" applyAlignment="1">
      <alignment horizontal="center" vertical="center" wrapText="1"/>
    </xf>
    <xf numFmtId="0" fontId="7" fillId="3" borderId="1" xfId="49" applyFont="1" applyFill="1" applyBorder="1" applyAlignment="1">
      <alignment horizontal="center" vertical="center" wrapText="1"/>
    </xf>
    <xf numFmtId="0" fontId="4" fillId="2" borderId="2" xfId="49" applyFont="1" applyFill="1" applyBorder="1" applyAlignment="1">
      <alignment horizontal="center" vertical="center" wrapText="1"/>
    </xf>
    <xf numFmtId="0" fontId="4" fillId="2" borderId="1" xfId="49" applyFont="1" applyFill="1" applyBorder="1" applyAlignment="1">
      <alignment horizontal="left" vertical="center" wrapText="1"/>
    </xf>
    <xf numFmtId="0" fontId="4" fillId="2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/>
    </xf>
    <xf numFmtId="0" fontId="4" fillId="2" borderId="3" xfId="49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4" xfId="49" applyFont="1" applyFill="1" applyBorder="1" applyAlignment="1">
      <alignment horizontal="center" vertical="center" wrapText="1"/>
    </xf>
    <xf numFmtId="0" fontId="4" fillId="2" borderId="5" xfId="49" applyFont="1" applyFill="1" applyBorder="1" applyAlignment="1">
      <alignment horizontal="center" vertical="center" wrapText="1"/>
    </xf>
    <xf numFmtId="0" fontId="4" fillId="4" borderId="6" xfId="49" applyFont="1" applyFill="1" applyBorder="1" applyAlignment="1">
      <alignment vertical="center" wrapText="1"/>
    </xf>
    <xf numFmtId="0" fontId="5" fillId="4" borderId="5" xfId="49" applyFont="1" applyFill="1" applyBorder="1" applyAlignment="1">
      <alignment horizontal="center" vertical="center" wrapText="1"/>
    </xf>
    <xf numFmtId="0" fontId="5" fillId="4" borderId="1" xfId="49" applyFont="1" applyFill="1" applyBorder="1" applyAlignment="1">
      <alignment horizontal="center" vertical="center" wrapText="1"/>
    </xf>
    <xf numFmtId="0" fontId="4" fillId="2" borderId="1" xfId="49" applyFont="1" applyFill="1" applyBorder="1" applyAlignment="1">
      <alignment vertical="center" wrapText="1"/>
    </xf>
    <xf numFmtId="0" fontId="5" fillId="4" borderId="1" xfId="49" applyFont="1" applyFill="1" applyBorder="1" applyAlignment="1">
      <alignment vertical="center" wrapText="1"/>
    </xf>
    <xf numFmtId="0" fontId="5" fillId="2" borderId="6" xfId="49" applyFont="1" applyFill="1" applyBorder="1" applyAlignment="1">
      <alignment vertical="center" wrapText="1"/>
    </xf>
    <xf numFmtId="0" fontId="5" fillId="2" borderId="0" xfId="49" applyFont="1" applyFill="1" applyAlignment="1">
      <alignment vertical="center" wrapText="1"/>
    </xf>
    <xf numFmtId="0" fontId="5" fillId="4" borderId="6" xfId="49" applyFont="1" applyFill="1" applyBorder="1" applyAlignment="1">
      <alignment vertical="center" wrapText="1"/>
    </xf>
    <xf numFmtId="0" fontId="8" fillId="4" borderId="1" xfId="49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4" fillId="2" borderId="7" xfId="0" applyFont="1" applyFill="1" applyBorder="1" applyAlignment="1">
      <alignment horizontal="left" vertical="center" wrapText="1"/>
    </xf>
    <xf numFmtId="0" fontId="13" fillId="2" borderId="7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0"/>
  <sheetViews>
    <sheetView tabSelected="1" topLeftCell="A61" workbookViewId="0">
      <selection activeCell="B75" sqref="B75"/>
    </sheetView>
  </sheetViews>
  <sheetFormatPr defaultColWidth="9" defaultRowHeight="14.4"/>
  <cols>
    <col min="1" max="1" width="8.33333333333333" customWidth="1"/>
    <col min="2" max="2" width="64.1111111111111" customWidth="1"/>
    <col min="3" max="3" width="14.6666666666667" customWidth="1"/>
    <col min="4" max="4" width="6.11111111111111" customWidth="1"/>
    <col min="5" max="5" width="5.44444444444444" customWidth="1"/>
    <col min="6" max="6" width="5.88888888888889" customWidth="1"/>
    <col min="7" max="7" width="6.77777777777778" customWidth="1"/>
    <col min="8" max="8" width="9.11111111111111" customWidth="1"/>
    <col min="9" max="9" width="13.1111111111111" customWidth="1"/>
    <col min="10" max="10" width="11" customWidth="1"/>
  </cols>
  <sheetData>
    <row r="1" ht="15.6" spans="1:10">
      <c r="A1" s="4" t="s">
        <v>0</v>
      </c>
      <c r="B1" s="5"/>
      <c r="C1" s="6"/>
      <c r="D1" s="7"/>
      <c r="E1" s="7"/>
      <c r="F1" s="7"/>
      <c r="G1" s="7"/>
      <c r="H1" s="7"/>
      <c r="I1" s="7"/>
      <c r="J1" s="7"/>
    </row>
    <row r="2" ht="31.2" spans="1:10">
      <c r="A2" s="8" t="s">
        <v>1</v>
      </c>
      <c r="B2" s="8" t="s">
        <v>2</v>
      </c>
      <c r="C2" s="8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</row>
    <row r="3" ht="15" spans="1:10">
      <c r="A3" s="10" t="s">
        <v>11</v>
      </c>
      <c r="B3" s="11" t="s">
        <v>12</v>
      </c>
      <c r="C3" s="12">
        <v>600</v>
      </c>
      <c r="D3" s="12" t="s">
        <v>13</v>
      </c>
      <c r="E3" s="12" t="s">
        <v>13</v>
      </c>
      <c r="F3" s="12" t="s">
        <v>13</v>
      </c>
      <c r="G3" s="12" t="s">
        <v>13</v>
      </c>
      <c r="H3" s="12" t="s">
        <v>13</v>
      </c>
      <c r="I3" s="12" t="s">
        <v>13</v>
      </c>
      <c r="J3" s="13" t="s">
        <v>14</v>
      </c>
    </row>
    <row r="4" ht="15" spans="1:10">
      <c r="A4" s="14"/>
      <c r="B4" s="11" t="s">
        <v>15</v>
      </c>
      <c r="C4" s="12">
        <v>600</v>
      </c>
      <c r="D4" s="12" t="s">
        <v>13</v>
      </c>
      <c r="E4" s="12" t="s">
        <v>13</v>
      </c>
      <c r="F4" s="12" t="s">
        <v>13</v>
      </c>
      <c r="G4" s="12" t="s">
        <v>13</v>
      </c>
      <c r="H4" s="12" t="s">
        <v>13</v>
      </c>
      <c r="I4" s="12" t="s">
        <v>13</v>
      </c>
      <c r="J4" s="13" t="s">
        <v>14</v>
      </c>
    </row>
    <row r="5" ht="15" spans="1:10">
      <c r="A5" s="14"/>
      <c r="B5" s="11" t="s">
        <v>16</v>
      </c>
      <c r="C5" s="12">
        <v>700</v>
      </c>
      <c r="D5" s="12"/>
      <c r="E5" s="12" t="s">
        <v>13</v>
      </c>
      <c r="F5" s="12" t="s">
        <v>13</v>
      </c>
      <c r="G5" s="12" t="s">
        <v>13</v>
      </c>
      <c r="H5" s="12" t="s">
        <v>13</v>
      </c>
      <c r="I5" s="12" t="s">
        <v>13</v>
      </c>
      <c r="J5" s="13" t="s">
        <v>14</v>
      </c>
    </row>
    <row r="6" ht="15" spans="1:10">
      <c r="A6" s="14"/>
      <c r="B6" s="11" t="s">
        <v>17</v>
      </c>
      <c r="C6" s="12">
        <v>700</v>
      </c>
      <c r="D6" s="12"/>
      <c r="E6" s="12"/>
      <c r="F6" s="12" t="s">
        <v>13</v>
      </c>
      <c r="G6" s="12" t="s">
        <v>13</v>
      </c>
      <c r="H6" s="12" t="s">
        <v>13</v>
      </c>
      <c r="I6" s="12" t="s">
        <v>13</v>
      </c>
      <c r="J6" s="13" t="s">
        <v>14</v>
      </c>
    </row>
    <row r="7" ht="15" spans="1:10">
      <c r="A7" s="14"/>
      <c r="B7" s="11" t="s">
        <v>18</v>
      </c>
      <c r="C7" s="12">
        <v>700</v>
      </c>
      <c r="D7" s="12"/>
      <c r="E7" s="12"/>
      <c r="F7" s="12"/>
      <c r="G7" s="12" t="s">
        <v>13</v>
      </c>
      <c r="H7" s="12" t="s">
        <v>13</v>
      </c>
      <c r="I7" s="12" t="s">
        <v>13</v>
      </c>
      <c r="J7" s="13" t="s">
        <v>14</v>
      </c>
    </row>
    <row r="8" ht="15" spans="1:10">
      <c r="A8" s="14"/>
      <c r="B8" s="11" t="s">
        <v>19</v>
      </c>
      <c r="C8" s="12">
        <v>800</v>
      </c>
      <c r="D8" s="12"/>
      <c r="E8" s="12"/>
      <c r="F8" s="12"/>
      <c r="G8" s="12" t="s">
        <v>13</v>
      </c>
      <c r="H8" s="12" t="s">
        <v>13</v>
      </c>
      <c r="I8" s="12" t="s">
        <v>13</v>
      </c>
      <c r="J8" s="13" t="s">
        <v>14</v>
      </c>
    </row>
    <row r="9" ht="15" spans="1:10">
      <c r="A9" s="14"/>
      <c r="B9" s="15" t="s">
        <v>20</v>
      </c>
      <c r="C9" s="12">
        <v>800</v>
      </c>
      <c r="D9" s="12"/>
      <c r="E9" s="12"/>
      <c r="F9" s="12"/>
      <c r="G9" s="12"/>
      <c r="H9" s="12" t="s">
        <v>13</v>
      </c>
      <c r="I9" s="12" t="s">
        <v>13</v>
      </c>
      <c r="J9" s="13" t="s">
        <v>14</v>
      </c>
    </row>
    <row r="10" ht="15" spans="1:10">
      <c r="A10" s="14"/>
      <c r="B10" s="15" t="s">
        <v>21</v>
      </c>
      <c r="C10" s="12">
        <v>800</v>
      </c>
      <c r="D10" s="12"/>
      <c r="E10" s="12"/>
      <c r="F10" s="12"/>
      <c r="G10" s="12"/>
      <c r="H10" s="12" t="s">
        <v>13</v>
      </c>
      <c r="I10" s="12" t="s">
        <v>13</v>
      </c>
      <c r="J10" s="13" t="s">
        <v>14</v>
      </c>
    </row>
    <row r="11" ht="15" spans="1:10">
      <c r="A11" s="16"/>
      <c r="B11" s="15" t="s">
        <v>22</v>
      </c>
      <c r="C11" s="17">
        <v>1500</v>
      </c>
      <c r="D11" s="12"/>
      <c r="E11" s="12"/>
      <c r="F11" s="12"/>
      <c r="G11" s="12"/>
      <c r="H11" s="12"/>
      <c r="I11" s="12" t="s">
        <v>13</v>
      </c>
      <c r="J11" s="13" t="s">
        <v>14</v>
      </c>
    </row>
    <row r="12" ht="15" spans="1:10">
      <c r="A12" s="16"/>
      <c r="B12" s="15" t="s">
        <v>23</v>
      </c>
      <c r="C12" s="17">
        <v>1500</v>
      </c>
      <c r="D12" s="12"/>
      <c r="E12" s="12"/>
      <c r="F12" s="12"/>
      <c r="G12" s="12"/>
      <c r="H12" s="12"/>
      <c r="I12" s="12" t="s">
        <v>13</v>
      </c>
      <c r="J12" s="13" t="s">
        <v>14</v>
      </c>
    </row>
    <row r="13" ht="15.6" spans="1:10">
      <c r="A13" s="18"/>
      <c r="B13" s="19" t="s">
        <v>24</v>
      </c>
      <c r="C13" s="19"/>
      <c r="D13" s="20">
        <f t="shared" ref="D13:H13" si="0">SUMIF(D3:D10,"V",$C$3:$C$10)</f>
        <v>1200</v>
      </c>
      <c r="E13" s="20">
        <f t="shared" si="0"/>
        <v>1900</v>
      </c>
      <c r="F13" s="20">
        <f t="shared" si="0"/>
        <v>2600</v>
      </c>
      <c r="G13" s="20">
        <f t="shared" si="0"/>
        <v>4100</v>
      </c>
      <c r="H13" s="20">
        <f t="shared" si="0"/>
        <v>5700</v>
      </c>
      <c r="I13" s="20">
        <f>SUMIF(I3:I12,"V",$C$3:$C$12)</f>
        <v>8700</v>
      </c>
      <c r="J13" s="20"/>
    </row>
    <row r="14" ht="15" spans="1:10">
      <c r="A14" s="5"/>
      <c r="B14" s="5"/>
      <c r="C14" s="6"/>
      <c r="D14" s="6"/>
      <c r="E14" s="6"/>
      <c r="F14" s="6"/>
      <c r="G14" s="6"/>
      <c r="H14" s="6"/>
      <c r="I14" s="6"/>
      <c r="J14" s="6"/>
    </row>
    <row r="15" ht="31.2" spans="1:10">
      <c r="A15" s="8" t="s">
        <v>1</v>
      </c>
      <c r="B15" s="8" t="s">
        <v>2</v>
      </c>
      <c r="C15" s="8" t="s">
        <v>3</v>
      </c>
      <c r="D15" s="9" t="s">
        <v>4</v>
      </c>
      <c r="E15" s="9" t="s">
        <v>5</v>
      </c>
      <c r="F15" s="9" t="s">
        <v>6</v>
      </c>
      <c r="G15" s="9" t="s">
        <v>7</v>
      </c>
      <c r="H15" s="9" t="s">
        <v>8</v>
      </c>
      <c r="I15" s="9" t="s">
        <v>9</v>
      </c>
      <c r="J15" s="9" t="s">
        <v>10</v>
      </c>
    </row>
    <row r="16" ht="30" spans="1:10">
      <c r="A16" s="12"/>
      <c r="B16" s="11" t="s">
        <v>25</v>
      </c>
      <c r="C16" s="12">
        <v>600</v>
      </c>
      <c r="D16" s="12" t="s">
        <v>13</v>
      </c>
      <c r="E16" s="12" t="s">
        <v>13</v>
      </c>
      <c r="F16" s="12" t="s">
        <v>13</v>
      </c>
      <c r="G16" s="12" t="s">
        <v>13</v>
      </c>
      <c r="H16" s="12" t="s">
        <v>13</v>
      </c>
      <c r="I16" s="12" t="s">
        <v>13</v>
      </c>
      <c r="J16" s="13" t="s">
        <v>14</v>
      </c>
    </row>
    <row r="17" ht="15" spans="1:10">
      <c r="A17" s="12" t="s">
        <v>26</v>
      </c>
      <c r="B17" s="5" t="s">
        <v>27</v>
      </c>
      <c r="C17" s="12">
        <v>600</v>
      </c>
      <c r="D17" s="12" t="s">
        <v>13</v>
      </c>
      <c r="E17" s="12" t="s">
        <v>13</v>
      </c>
      <c r="F17" s="12" t="s">
        <v>13</v>
      </c>
      <c r="G17" s="12" t="s">
        <v>13</v>
      </c>
      <c r="H17" s="12" t="s">
        <v>13</v>
      </c>
      <c r="I17" s="12" t="s">
        <v>13</v>
      </c>
      <c r="J17" s="13" t="s">
        <v>14</v>
      </c>
    </row>
    <row r="18" ht="15" spans="1:10">
      <c r="A18" s="12"/>
      <c r="B18" s="11" t="s">
        <v>28</v>
      </c>
      <c r="C18" s="12">
        <v>700</v>
      </c>
      <c r="D18" s="12"/>
      <c r="E18" s="12" t="s">
        <v>13</v>
      </c>
      <c r="F18" s="12" t="s">
        <v>13</v>
      </c>
      <c r="G18" s="12" t="s">
        <v>13</v>
      </c>
      <c r="H18" s="12" t="s">
        <v>13</v>
      </c>
      <c r="I18" s="12" t="s">
        <v>13</v>
      </c>
      <c r="J18" s="13" t="s">
        <v>14</v>
      </c>
    </row>
    <row r="19" ht="15" spans="1:10">
      <c r="A19" s="12"/>
      <c r="B19" s="11" t="s">
        <v>29</v>
      </c>
      <c r="C19" s="12">
        <v>700</v>
      </c>
      <c r="D19" s="12"/>
      <c r="E19" s="12"/>
      <c r="F19" s="12" t="s">
        <v>13</v>
      </c>
      <c r="G19" s="12" t="s">
        <v>13</v>
      </c>
      <c r="H19" s="12" t="s">
        <v>13</v>
      </c>
      <c r="I19" s="12" t="s">
        <v>13</v>
      </c>
      <c r="J19" s="13" t="s">
        <v>14</v>
      </c>
    </row>
    <row r="20" ht="15" spans="1:10">
      <c r="A20" s="12"/>
      <c r="B20" s="11" t="s">
        <v>30</v>
      </c>
      <c r="C20" s="12">
        <v>700</v>
      </c>
      <c r="D20" s="12"/>
      <c r="E20" s="12"/>
      <c r="F20" s="12"/>
      <c r="G20" s="12" t="s">
        <v>13</v>
      </c>
      <c r="H20" s="12" t="s">
        <v>13</v>
      </c>
      <c r="I20" s="12" t="s">
        <v>13</v>
      </c>
      <c r="J20" s="13" t="s">
        <v>14</v>
      </c>
    </row>
    <row r="21" ht="15" spans="1:10">
      <c r="A21" s="12"/>
      <c r="B21" s="21" t="s">
        <v>31</v>
      </c>
      <c r="C21" s="12">
        <v>800</v>
      </c>
      <c r="D21" s="12"/>
      <c r="E21" s="12"/>
      <c r="F21" s="12"/>
      <c r="G21" s="12" t="s">
        <v>13</v>
      </c>
      <c r="H21" s="12" t="s">
        <v>13</v>
      </c>
      <c r="I21" s="12" t="s">
        <v>13</v>
      </c>
      <c r="J21" s="13" t="s">
        <v>14</v>
      </c>
    </row>
    <row r="22" ht="15" spans="1:10">
      <c r="A22" s="12"/>
      <c r="B22" s="11" t="s">
        <v>32</v>
      </c>
      <c r="C22" s="12">
        <v>800</v>
      </c>
      <c r="D22" s="12"/>
      <c r="E22" s="12"/>
      <c r="F22" s="12"/>
      <c r="G22" s="12"/>
      <c r="H22" s="12" t="s">
        <v>13</v>
      </c>
      <c r="I22" s="12" t="s">
        <v>13</v>
      </c>
      <c r="J22" s="13" t="s">
        <v>14</v>
      </c>
    </row>
    <row r="23" ht="15" spans="1:10">
      <c r="A23" s="12"/>
      <c r="B23" s="11" t="s">
        <v>33</v>
      </c>
      <c r="C23" s="12">
        <v>800</v>
      </c>
      <c r="D23" s="12"/>
      <c r="E23" s="12"/>
      <c r="F23" s="12"/>
      <c r="G23" s="12"/>
      <c r="H23" s="12" t="s">
        <v>13</v>
      </c>
      <c r="I23" s="12" t="s">
        <v>13</v>
      </c>
      <c r="J23" s="13" t="s">
        <v>14</v>
      </c>
    </row>
    <row r="24" ht="15" spans="1:10">
      <c r="A24" s="12"/>
      <c r="B24" s="11" t="s">
        <v>34</v>
      </c>
      <c r="C24" s="17">
        <v>1500</v>
      </c>
      <c r="D24" s="12"/>
      <c r="E24" s="12"/>
      <c r="F24" s="12"/>
      <c r="G24" s="12"/>
      <c r="H24" s="12"/>
      <c r="I24" s="12" t="s">
        <v>13</v>
      </c>
      <c r="J24" s="13" t="s">
        <v>14</v>
      </c>
    </row>
    <row r="25" ht="15" spans="1:10">
      <c r="A25" s="12"/>
      <c r="B25" s="11" t="s">
        <v>35</v>
      </c>
      <c r="C25" s="17">
        <v>1500</v>
      </c>
      <c r="D25" s="12"/>
      <c r="E25" s="12"/>
      <c r="F25" s="12"/>
      <c r="G25" s="12"/>
      <c r="H25" s="12"/>
      <c r="I25" s="12" t="s">
        <v>13</v>
      </c>
      <c r="J25" s="13" t="s">
        <v>14</v>
      </c>
    </row>
    <row r="26" ht="15.6" spans="1:10">
      <c r="A26" s="22"/>
      <c r="B26" s="20" t="s">
        <v>24</v>
      </c>
      <c r="C26" s="20"/>
      <c r="D26" s="20">
        <f t="shared" ref="D26:I26" si="1">SUMIF(D16:D25,"V",$C$16:$C$25)</f>
        <v>1200</v>
      </c>
      <c r="E26" s="20">
        <f t="shared" si="1"/>
        <v>1900</v>
      </c>
      <c r="F26" s="20">
        <f t="shared" si="1"/>
        <v>2600</v>
      </c>
      <c r="G26" s="20">
        <f t="shared" si="1"/>
        <v>4100</v>
      </c>
      <c r="H26" s="20">
        <f t="shared" si="1"/>
        <v>5700</v>
      </c>
      <c r="I26" s="20">
        <f t="shared" si="1"/>
        <v>8700</v>
      </c>
      <c r="J26" s="20"/>
    </row>
    <row r="27" ht="15" spans="1:10">
      <c r="A27" s="5"/>
      <c r="B27" s="5"/>
      <c r="C27" s="6"/>
      <c r="D27" s="6"/>
      <c r="E27" s="6"/>
      <c r="F27" s="6"/>
      <c r="G27" s="6"/>
      <c r="H27" s="6"/>
      <c r="I27" s="6"/>
      <c r="J27" s="6"/>
    </row>
    <row r="28" ht="31.2" spans="1:10">
      <c r="A28" s="8" t="s">
        <v>1</v>
      </c>
      <c r="B28" s="8" t="s">
        <v>2</v>
      </c>
      <c r="C28" s="8" t="s">
        <v>3</v>
      </c>
      <c r="D28" s="9" t="s">
        <v>4</v>
      </c>
      <c r="E28" s="9" t="s">
        <v>5</v>
      </c>
      <c r="F28" s="9" t="s">
        <v>6</v>
      </c>
      <c r="G28" s="9" t="s">
        <v>7</v>
      </c>
      <c r="H28" s="9"/>
      <c r="I28" s="9"/>
      <c r="J28" s="9" t="s">
        <v>10</v>
      </c>
    </row>
    <row r="29" ht="15" spans="1:10">
      <c r="A29" s="10" t="s">
        <v>36</v>
      </c>
      <c r="B29" s="11" t="s">
        <v>37</v>
      </c>
      <c r="C29" s="12">
        <v>600</v>
      </c>
      <c r="D29" s="12" t="s">
        <v>13</v>
      </c>
      <c r="E29" s="12" t="s">
        <v>13</v>
      </c>
      <c r="F29" s="12" t="s">
        <v>13</v>
      </c>
      <c r="G29" s="12" t="s">
        <v>13</v>
      </c>
      <c r="H29" s="12"/>
      <c r="I29" s="12"/>
      <c r="J29" s="13" t="s">
        <v>14</v>
      </c>
    </row>
    <row r="30" ht="15" spans="1:10">
      <c r="A30" s="14"/>
      <c r="B30" s="11" t="s">
        <v>38</v>
      </c>
      <c r="C30" s="12">
        <v>600</v>
      </c>
      <c r="D30" s="12" t="s">
        <v>13</v>
      </c>
      <c r="E30" s="12" t="s">
        <v>13</v>
      </c>
      <c r="F30" s="12" t="s">
        <v>13</v>
      </c>
      <c r="G30" s="12" t="s">
        <v>13</v>
      </c>
      <c r="H30" s="12"/>
      <c r="I30" s="12"/>
      <c r="J30" s="13" t="s">
        <v>14</v>
      </c>
    </row>
    <row r="31" ht="15" spans="1:10">
      <c r="A31" s="14"/>
      <c r="B31" s="11" t="s">
        <v>39</v>
      </c>
      <c r="C31" s="12">
        <v>700</v>
      </c>
      <c r="D31" s="12"/>
      <c r="E31" s="12" t="s">
        <v>13</v>
      </c>
      <c r="F31" s="12" t="s">
        <v>13</v>
      </c>
      <c r="G31" s="12" t="s">
        <v>13</v>
      </c>
      <c r="H31" s="12"/>
      <c r="I31" s="12"/>
      <c r="J31" s="13" t="s">
        <v>14</v>
      </c>
    </row>
    <row r="32" ht="15" spans="1:10">
      <c r="A32" s="14"/>
      <c r="B32" s="11" t="s">
        <v>40</v>
      </c>
      <c r="C32" s="12">
        <v>700</v>
      </c>
      <c r="D32" s="12"/>
      <c r="E32" s="12"/>
      <c r="F32" s="12" t="s">
        <v>13</v>
      </c>
      <c r="G32" s="12" t="s">
        <v>13</v>
      </c>
      <c r="H32" s="12"/>
      <c r="I32" s="12"/>
      <c r="J32" s="13" t="s">
        <v>14</v>
      </c>
    </row>
    <row r="33" ht="15" spans="1:10">
      <c r="A33" s="14"/>
      <c r="B33" s="11" t="s">
        <v>41</v>
      </c>
      <c r="C33" s="12">
        <v>700</v>
      </c>
      <c r="D33" s="12"/>
      <c r="E33" s="12"/>
      <c r="F33" s="12"/>
      <c r="G33" s="12" t="s">
        <v>13</v>
      </c>
      <c r="H33" s="12"/>
      <c r="I33" s="12"/>
      <c r="J33" s="13" t="s">
        <v>14</v>
      </c>
    </row>
    <row r="34" ht="15" spans="1:10">
      <c r="A34" s="14"/>
      <c r="B34" s="11" t="s">
        <v>42</v>
      </c>
      <c r="C34" s="12">
        <v>800</v>
      </c>
      <c r="D34" s="12"/>
      <c r="E34" s="12"/>
      <c r="F34" s="12"/>
      <c r="G34" s="12" t="s">
        <v>13</v>
      </c>
      <c r="H34" s="12"/>
      <c r="I34" s="12"/>
      <c r="J34" s="13" t="s">
        <v>14</v>
      </c>
    </row>
    <row r="35" ht="15.6" spans="1:10">
      <c r="A35" s="23"/>
      <c r="B35" s="19" t="s">
        <v>24</v>
      </c>
      <c r="C35" s="19"/>
      <c r="D35" s="20">
        <f t="shared" ref="D35:G35" si="2">SUMIF(D29:D34,"V",$C$29:$C$34)</f>
        <v>1200</v>
      </c>
      <c r="E35" s="20">
        <f t="shared" si="2"/>
        <v>1900</v>
      </c>
      <c r="F35" s="20">
        <f t="shared" si="2"/>
        <v>2600</v>
      </c>
      <c r="G35" s="20">
        <f t="shared" si="2"/>
        <v>4100</v>
      </c>
      <c r="H35" s="20"/>
      <c r="I35" s="20"/>
      <c r="J35" s="20"/>
    </row>
    <row r="36" ht="15.6" spans="1:10">
      <c r="A36" s="24"/>
      <c r="B36" s="24"/>
      <c r="C36" s="7"/>
      <c r="D36" s="7"/>
      <c r="E36" s="7"/>
      <c r="F36" s="7"/>
      <c r="G36" s="7"/>
      <c r="H36" s="7"/>
      <c r="I36" s="7"/>
      <c r="J36" s="7"/>
    </row>
    <row r="37" ht="31.2" spans="1:10">
      <c r="A37" s="8" t="s">
        <v>1</v>
      </c>
      <c r="B37" s="8" t="s">
        <v>2</v>
      </c>
      <c r="C37" s="8" t="s">
        <v>3</v>
      </c>
      <c r="D37" s="9" t="s">
        <v>4</v>
      </c>
      <c r="E37" s="9" t="s">
        <v>5</v>
      </c>
      <c r="F37" s="9" t="s">
        <v>6</v>
      </c>
      <c r="G37" s="9" t="s">
        <v>7</v>
      </c>
      <c r="H37" s="9"/>
      <c r="I37" s="9"/>
      <c r="J37" s="9" t="s">
        <v>10</v>
      </c>
    </row>
    <row r="38" ht="15" spans="1:10">
      <c r="A38" s="10" t="s">
        <v>43</v>
      </c>
      <c r="B38" s="11" t="s">
        <v>44</v>
      </c>
      <c r="C38" s="12">
        <v>150</v>
      </c>
      <c r="D38" s="12" t="s">
        <v>13</v>
      </c>
      <c r="E38" s="12" t="s">
        <v>13</v>
      </c>
      <c r="F38" s="12" t="s">
        <v>13</v>
      </c>
      <c r="G38" s="12" t="s">
        <v>13</v>
      </c>
      <c r="H38" s="12"/>
      <c r="I38" s="12"/>
      <c r="J38" s="13" t="s">
        <v>14</v>
      </c>
    </row>
    <row r="39" ht="15" spans="1:10">
      <c r="A39" s="14"/>
      <c r="B39" s="11" t="s">
        <v>45</v>
      </c>
      <c r="C39" s="12">
        <v>150</v>
      </c>
      <c r="D39" s="12" t="s">
        <v>13</v>
      </c>
      <c r="E39" s="12" t="s">
        <v>13</v>
      </c>
      <c r="F39" s="12" t="s">
        <v>13</v>
      </c>
      <c r="G39" s="12" t="s">
        <v>13</v>
      </c>
      <c r="H39" s="12"/>
      <c r="I39" s="12"/>
      <c r="J39" s="13" t="s">
        <v>14</v>
      </c>
    </row>
    <row r="40" ht="15" spans="1:10">
      <c r="A40" s="14"/>
      <c r="B40" s="11" t="s">
        <v>46</v>
      </c>
      <c r="C40" s="12">
        <v>300</v>
      </c>
      <c r="D40" s="12"/>
      <c r="E40" s="12" t="s">
        <v>13</v>
      </c>
      <c r="F40" s="12" t="s">
        <v>13</v>
      </c>
      <c r="G40" s="12" t="s">
        <v>13</v>
      </c>
      <c r="H40" s="12"/>
      <c r="I40" s="12"/>
      <c r="J40" s="13" t="s">
        <v>14</v>
      </c>
    </row>
    <row r="41" ht="15" spans="1:10">
      <c r="A41" s="14"/>
      <c r="B41" s="11" t="s">
        <v>47</v>
      </c>
      <c r="C41" s="12">
        <v>400</v>
      </c>
      <c r="D41" s="12"/>
      <c r="E41" s="12"/>
      <c r="F41" s="12" t="s">
        <v>13</v>
      </c>
      <c r="G41" s="12" t="s">
        <v>13</v>
      </c>
      <c r="H41" s="12"/>
      <c r="I41" s="12"/>
      <c r="J41" s="13" t="s">
        <v>14</v>
      </c>
    </row>
    <row r="42" ht="15" spans="1:10">
      <c r="A42" s="14"/>
      <c r="B42" s="11" t="s">
        <v>48</v>
      </c>
      <c r="C42" s="12">
        <v>500</v>
      </c>
      <c r="D42" s="12"/>
      <c r="E42" s="12"/>
      <c r="F42" s="12"/>
      <c r="G42" s="12" t="s">
        <v>13</v>
      </c>
      <c r="H42" s="12"/>
      <c r="I42" s="12"/>
      <c r="J42" s="13" t="s">
        <v>14</v>
      </c>
    </row>
    <row r="43" ht="15" spans="1:10">
      <c r="A43" s="14"/>
      <c r="B43" s="11" t="s">
        <v>49</v>
      </c>
      <c r="C43" s="12">
        <v>600</v>
      </c>
      <c r="D43" s="12"/>
      <c r="E43" s="12"/>
      <c r="F43" s="12"/>
      <c r="G43" s="12" t="s">
        <v>13</v>
      </c>
      <c r="H43" s="12"/>
      <c r="I43" s="12"/>
      <c r="J43" s="13" t="s">
        <v>14</v>
      </c>
    </row>
    <row r="44" ht="15" spans="1:10">
      <c r="A44" s="14"/>
      <c r="B44" s="11" t="s">
        <v>50</v>
      </c>
      <c r="C44" s="12">
        <v>600</v>
      </c>
      <c r="D44" s="12"/>
      <c r="E44" s="12"/>
      <c r="F44" s="12"/>
      <c r="G44" s="12" t="s">
        <v>13</v>
      </c>
      <c r="H44" s="12"/>
      <c r="I44" s="12"/>
      <c r="J44" s="13" t="s">
        <v>14</v>
      </c>
    </row>
    <row r="45" ht="15.6" spans="1:10">
      <c r="A45" s="25"/>
      <c r="B45" s="19" t="s">
        <v>24</v>
      </c>
      <c r="C45" s="19"/>
      <c r="D45" s="20">
        <f t="shared" ref="D45:G45" si="3">SUMIF(D38:D44,"V",$C$38:$C$44)</f>
        <v>300</v>
      </c>
      <c r="E45" s="20">
        <f t="shared" si="3"/>
        <v>600</v>
      </c>
      <c r="F45" s="20">
        <f t="shared" si="3"/>
        <v>1000</v>
      </c>
      <c r="G45" s="20">
        <f t="shared" si="3"/>
        <v>2700</v>
      </c>
      <c r="H45" s="20"/>
      <c r="I45" s="20"/>
      <c r="J45" s="26"/>
    </row>
    <row r="46" ht="15" spans="1:10">
      <c r="A46" s="5"/>
      <c r="B46" s="5"/>
      <c r="C46" s="6"/>
      <c r="D46" s="6"/>
      <c r="E46" s="6"/>
      <c r="F46" s="6"/>
      <c r="G46" s="6"/>
      <c r="H46" s="6"/>
      <c r="I46" s="6"/>
      <c r="J46" s="6"/>
    </row>
    <row r="47" ht="31.2" spans="1:10">
      <c r="A47" s="8" t="s">
        <v>1</v>
      </c>
      <c r="B47" s="8" t="s">
        <v>2</v>
      </c>
      <c r="C47" s="8" t="s">
        <v>3</v>
      </c>
      <c r="D47" s="9" t="s">
        <v>4</v>
      </c>
      <c r="E47" s="9" t="s">
        <v>5</v>
      </c>
      <c r="F47" s="9" t="s">
        <v>6</v>
      </c>
      <c r="G47" s="9" t="s">
        <v>7</v>
      </c>
      <c r="H47" s="9" t="s">
        <v>8</v>
      </c>
      <c r="I47" s="9"/>
      <c r="J47" s="9" t="s">
        <v>10</v>
      </c>
    </row>
    <row r="48" ht="15" spans="1:10">
      <c r="A48" s="10" t="s">
        <v>51</v>
      </c>
      <c r="B48" s="15" t="s">
        <v>52</v>
      </c>
      <c r="C48" s="27">
        <v>600</v>
      </c>
      <c r="D48" s="27" t="s">
        <v>13</v>
      </c>
      <c r="E48" s="12" t="s">
        <v>13</v>
      </c>
      <c r="F48" s="27" t="s">
        <v>13</v>
      </c>
      <c r="G48" s="27" t="s">
        <v>13</v>
      </c>
      <c r="H48" s="27" t="s">
        <v>13</v>
      </c>
      <c r="I48" s="12"/>
      <c r="J48" s="13" t="s">
        <v>14</v>
      </c>
    </row>
    <row r="49" ht="15" spans="1:17">
      <c r="A49" s="14"/>
      <c r="B49" s="15" t="s">
        <v>53</v>
      </c>
      <c r="C49" s="27">
        <v>600</v>
      </c>
      <c r="D49" s="27" t="s">
        <v>13</v>
      </c>
      <c r="E49" s="12" t="s">
        <v>13</v>
      </c>
      <c r="F49" s="27" t="s">
        <v>13</v>
      </c>
      <c r="G49" s="27" t="s">
        <v>13</v>
      </c>
      <c r="H49" s="27" t="s">
        <v>13</v>
      </c>
      <c r="I49" s="12"/>
      <c r="J49" s="13" t="s">
        <v>14</v>
      </c>
    </row>
    <row r="50" ht="15" spans="1:17">
      <c r="A50" s="14"/>
      <c r="B50" s="15" t="s">
        <v>54</v>
      </c>
      <c r="C50" s="27">
        <v>700</v>
      </c>
      <c r="D50" s="27"/>
      <c r="E50" s="12" t="s">
        <v>13</v>
      </c>
      <c r="F50" s="27" t="s">
        <v>13</v>
      </c>
      <c r="G50" s="27" t="s">
        <v>13</v>
      </c>
      <c r="H50" s="27" t="s">
        <v>13</v>
      </c>
      <c r="I50" s="12"/>
      <c r="J50" s="13" t="s">
        <v>14</v>
      </c>
    </row>
    <row r="51" ht="15" spans="1:17">
      <c r="A51" s="14"/>
      <c r="B51" s="28" t="s">
        <v>55</v>
      </c>
      <c r="C51" s="27">
        <v>700</v>
      </c>
      <c r="D51" s="27"/>
      <c r="E51" s="27"/>
      <c r="F51" s="27" t="s">
        <v>13</v>
      </c>
      <c r="G51" s="27" t="s">
        <v>13</v>
      </c>
      <c r="H51" s="27" t="s">
        <v>13</v>
      </c>
      <c r="I51" s="12"/>
      <c r="J51" s="13" t="s">
        <v>14</v>
      </c>
    </row>
    <row r="52" ht="15" spans="1:17">
      <c r="A52" s="14"/>
      <c r="B52" s="15" t="s">
        <v>56</v>
      </c>
      <c r="C52" s="27">
        <v>700</v>
      </c>
      <c r="D52" s="27"/>
      <c r="E52" s="27"/>
      <c r="F52" s="27"/>
      <c r="G52" s="27" t="s">
        <v>13</v>
      </c>
      <c r="H52" s="27" t="s">
        <v>13</v>
      </c>
      <c r="I52" s="12"/>
      <c r="J52" s="13" t="s">
        <v>14</v>
      </c>
    </row>
    <row r="53" ht="15" spans="1:17">
      <c r="A53" s="14"/>
      <c r="B53" s="15" t="s">
        <v>57</v>
      </c>
      <c r="C53" s="27">
        <v>800</v>
      </c>
      <c r="D53" s="27"/>
      <c r="E53" s="27"/>
      <c r="F53" s="27"/>
      <c r="G53" s="27" t="s">
        <v>13</v>
      </c>
      <c r="H53" s="27" t="s">
        <v>13</v>
      </c>
      <c r="I53" s="12"/>
      <c r="J53" s="13" t="s">
        <v>14</v>
      </c>
    </row>
    <row r="54" ht="15" spans="1:17">
      <c r="A54" s="14"/>
      <c r="B54" s="15" t="s">
        <v>58</v>
      </c>
      <c r="C54" s="27">
        <v>800</v>
      </c>
      <c r="D54" s="27"/>
      <c r="E54" s="27"/>
      <c r="F54" s="27"/>
      <c r="G54" s="27"/>
      <c r="H54" s="27" t="s">
        <v>13</v>
      </c>
      <c r="I54" s="12"/>
      <c r="J54" s="13" t="s">
        <v>14</v>
      </c>
    </row>
    <row r="55" ht="15" spans="1:17">
      <c r="A55" s="14"/>
      <c r="B55" s="15" t="s">
        <v>59</v>
      </c>
      <c r="C55" s="27">
        <v>800</v>
      </c>
      <c r="D55" s="27"/>
      <c r="E55" s="27"/>
      <c r="F55" s="27"/>
      <c r="G55" s="27"/>
      <c r="H55" s="27" t="s">
        <v>13</v>
      </c>
      <c r="I55" s="12"/>
      <c r="J55" s="13" t="s">
        <v>14</v>
      </c>
    </row>
    <row r="56" ht="15.6" spans="1:17">
      <c r="A56" s="25"/>
      <c r="B56" s="19" t="s">
        <v>24</v>
      </c>
      <c r="C56" s="19"/>
      <c r="D56" s="20">
        <f t="shared" ref="D56:H56" si="4">SUMIF(D48:D55,"V",$C$3:$C$10)</f>
        <v>1200</v>
      </c>
      <c r="E56" s="20">
        <f t="shared" si="4"/>
        <v>1900</v>
      </c>
      <c r="F56" s="20">
        <f t="shared" si="4"/>
        <v>2600</v>
      </c>
      <c r="G56" s="20">
        <f t="shared" si="4"/>
        <v>4100</v>
      </c>
      <c r="H56" s="20">
        <f t="shared" si="4"/>
        <v>5700</v>
      </c>
      <c r="I56" s="20"/>
      <c r="J56" s="20"/>
    </row>
    <row r="58" customFormat="1" spans="1:17">
      <c r="A58" t="s">
        <v>60</v>
      </c>
    </row>
    <row r="59" s="1" customFormat="1" ht="31.2" spans="1:17">
      <c r="A59" s="29" t="s">
        <v>1</v>
      </c>
      <c r="B59" s="29" t="s">
        <v>2</v>
      </c>
      <c r="C59" s="29" t="s">
        <v>3</v>
      </c>
      <c r="D59" s="30" t="s">
        <v>4</v>
      </c>
      <c r="E59" s="30" t="s">
        <v>6</v>
      </c>
      <c r="F59" s="30" t="s">
        <v>7</v>
      </c>
      <c r="G59" s="30" t="s">
        <v>8</v>
      </c>
      <c r="H59" s="30" t="s">
        <v>10</v>
      </c>
      <c r="J59" s="31"/>
      <c r="K59" s="31"/>
      <c r="L59" s="31"/>
      <c r="M59" s="31"/>
      <c r="N59" s="31"/>
      <c r="O59" s="31"/>
      <c r="P59" s="31"/>
      <c r="Q59" s="31"/>
    </row>
    <row r="60" s="1" customFormat="1" ht="15" spans="1:17">
      <c r="A60" s="27" t="s">
        <v>61</v>
      </c>
      <c r="B60" s="15" t="s">
        <v>62</v>
      </c>
      <c r="C60" s="27">
        <v>100</v>
      </c>
      <c r="D60" s="32" t="s">
        <v>13</v>
      </c>
      <c r="E60" s="32"/>
      <c r="F60" s="27"/>
      <c r="G60" s="27"/>
      <c r="H60" s="27" t="s">
        <v>14</v>
      </c>
      <c r="J60" s="31"/>
      <c r="K60" s="31"/>
      <c r="L60" s="31"/>
      <c r="M60" s="31"/>
      <c r="N60" s="31"/>
      <c r="O60" s="31"/>
      <c r="P60" s="31"/>
      <c r="Q60" s="31"/>
    </row>
    <row r="61" s="1" customFormat="1" ht="15" spans="1:17">
      <c r="A61" s="27"/>
      <c r="B61" s="33" t="s">
        <v>63</v>
      </c>
      <c r="C61" s="34">
        <v>200</v>
      </c>
      <c r="D61" s="35" t="s">
        <v>13</v>
      </c>
      <c r="E61" s="35"/>
      <c r="F61" s="34"/>
      <c r="G61" s="27"/>
      <c r="H61" s="27" t="s">
        <v>14</v>
      </c>
      <c r="J61" s="31"/>
      <c r="K61" s="31"/>
      <c r="L61" s="31"/>
      <c r="M61" s="31"/>
      <c r="N61" s="31"/>
      <c r="O61" s="31"/>
      <c r="P61" s="31"/>
      <c r="Q61" s="31"/>
    </row>
    <row r="62" s="1" customFormat="1" ht="15" spans="1:17">
      <c r="A62" s="36"/>
      <c r="B62" s="37" t="s">
        <v>64</v>
      </c>
      <c r="C62" s="38"/>
      <c r="D62" s="27">
        <f>SUMIF(D60:D61,"&lt;&gt;",C60:C61)</f>
        <v>300</v>
      </c>
      <c r="E62" s="27"/>
      <c r="F62" s="27"/>
      <c r="G62" s="27"/>
      <c r="H62" s="27"/>
      <c r="J62" s="31"/>
      <c r="K62" s="31"/>
      <c r="L62" s="31"/>
      <c r="M62" s="31"/>
      <c r="N62" s="31"/>
      <c r="O62" s="31"/>
      <c r="P62" s="31"/>
      <c r="Q62" s="31"/>
    </row>
    <row r="63" s="1" customFormat="1" ht="15.6" spans="1:17">
      <c r="A63" s="2"/>
      <c r="B63" s="2"/>
      <c r="C63" s="2"/>
      <c r="D63" s="39"/>
      <c r="E63" s="39"/>
      <c r="F63" s="39"/>
      <c r="G63" s="39"/>
      <c r="H63" s="39"/>
      <c r="J63" s="31"/>
      <c r="K63" s="31"/>
      <c r="L63" s="31"/>
      <c r="M63" s="31"/>
      <c r="N63" s="31"/>
      <c r="O63" s="31"/>
      <c r="P63" s="31"/>
      <c r="Q63" s="31"/>
    </row>
    <row r="64" s="1" customFormat="1" ht="31.2" spans="1:17">
      <c r="A64" s="29" t="s">
        <v>1</v>
      </c>
      <c r="B64" s="29" t="s">
        <v>2</v>
      </c>
      <c r="C64" s="29" t="s">
        <v>3</v>
      </c>
      <c r="D64" s="30" t="s">
        <v>4</v>
      </c>
      <c r="E64" s="30" t="s">
        <v>6</v>
      </c>
      <c r="F64" s="30" t="s">
        <v>7</v>
      </c>
      <c r="G64" s="30" t="s">
        <v>8</v>
      </c>
      <c r="H64" s="30" t="s">
        <v>10</v>
      </c>
      <c r="J64" s="31"/>
      <c r="K64" s="31"/>
      <c r="L64" s="31"/>
      <c r="M64" s="31"/>
      <c r="N64" s="31"/>
      <c r="O64" s="31"/>
      <c r="P64" s="31"/>
      <c r="Q64" s="31"/>
    </row>
    <row r="65" s="1" customFormat="1" ht="15" spans="1:17">
      <c r="A65" s="40" t="s">
        <v>65</v>
      </c>
      <c r="B65" s="41" t="s">
        <v>66</v>
      </c>
      <c r="C65" s="27">
        <v>150</v>
      </c>
      <c r="D65" s="27" t="s">
        <v>13</v>
      </c>
      <c r="E65" s="32" t="s">
        <v>13</v>
      </c>
      <c r="F65" s="32"/>
      <c r="G65" s="27"/>
      <c r="H65" s="27" t="s">
        <v>14</v>
      </c>
      <c r="J65" s="31"/>
      <c r="K65" s="31"/>
      <c r="L65" s="31"/>
      <c r="M65" s="31"/>
      <c r="N65" s="31"/>
      <c r="O65" s="31"/>
      <c r="P65" s="31"/>
      <c r="Q65" s="31"/>
    </row>
    <row r="66" s="1" customFormat="1" ht="15" spans="1:17">
      <c r="A66" s="42"/>
      <c r="B66" s="41" t="s">
        <v>67</v>
      </c>
      <c r="C66" s="27">
        <v>150</v>
      </c>
      <c r="D66" s="27" t="s">
        <v>13</v>
      </c>
      <c r="E66" s="32" t="s">
        <v>13</v>
      </c>
      <c r="F66" s="32"/>
      <c r="G66" s="27"/>
      <c r="H66" s="27" t="s">
        <v>14</v>
      </c>
      <c r="J66" s="31"/>
      <c r="K66" s="31"/>
      <c r="L66" s="31"/>
      <c r="M66" s="31"/>
      <c r="N66" s="31"/>
      <c r="O66" s="31"/>
      <c r="P66" s="31"/>
      <c r="Q66" s="31"/>
    </row>
    <row r="67" s="1" customFormat="1" ht="15" spans="1:17">
      <c r="A67" s="42"/>
      <c r="B67" s="41" t="s">
        <v>68</v>
      </c>
      <c r="C67" s="27">
        <v>200</v>
      </c>
      <c r="D67" s="27"/>
      <c r="E67" s="32" t="s">
        <v>13</v>
      </c>
      <c r="F67" s="32"/>
      <c r="G67" s="27"/>
      <c r="H67" s="27" t="s">
        <v>14</v>
      </c>
      <c r="J67" s="31"/>
      <c r="K67" s="31"/>
      <c r="L67" s="31"/>
      <c r="M67" s="31"/>
      <c r="N67" s="31"/>
      <c r="O67" s="31"/>
      <c r="P67" s="31"/>
      <c r="Q67" s="31"/>
    </row>
    <row r="68" s="1" customFormat="1" ht="15" spans="1:17">
      <c r="A68" s="42"/>
      <c r="B68" s="41" t="s">
        <v>69</v>
      </c>
      <c r="C68" s="27">
        <v>200</v>
      </c>
      <c r="D68" s="27"/>
      <c r="E68" s="32" t="s">
        <v>13</v>
      </c>
      <c r="F68" s="32"/>
      <c r="G68" s="27"/>
      <c r="H68" s="27" t="s">
        <v>14</v>
      </c>
      <c r="J68" s="31"/>
      <c r="K68" s="31"/>
      <c r="L68" s="31"/>
      <c r="M68" s="31"/>
      <c r="N68" s="31"/>
      <c r="O68" s="31"/>
      <c r="P68" s="31"/>
      <c r="Q68" s="31"/>
    </row>
    <row r="69" s="1" customFormat="1" ht="15" spans="1:17">
      <c r="A69" s="42"/>
      <c r="B69" s="41" t="s">
        <v>70</v>
      </c>
      <c r="C69" s="27">
        <v>300</v>
      </c>
      <c r="D69" s="27"/>
      <c r="E69" s="32" t="s">
        <v>13</v>
      </c>
      <c r="F69" s="32"/>
      <c r="G69" s="27"/>
      <c r="H69" s="27" t="s">
        <v>14</v>
      </c>
      <c r="J69" s="31"/>
      <c r="K69" s="31"/>
      <c r="L69" s="31"/>
      <c r="M69" s="31"/>
      <c r="N69" s="31"/>
      <c r="O69" s="31"/>
      <c r="P69" s="31"/>
      <c r="Q69" s="31"/>
    </row>
    <row r="70" s="1" customFormat="1" ht="15" spans="1:17">
      <c r="A70" s="36"/>
      <c r="B70" s="37" t="s">
        <v>71</v>
      </c>
      <c r="C70" s="38"/>
      <c r="D70" s="27">
        <f>SUMIF(D65:D69,"&lt;&gt;",C65:C69)</f>
        <v>300</v>
      </c>
      <c r="E70" s="27">
        <f>SUMIF(E65:E69,"&lt;&gt;",C65:C69)</f>
        <v>1000</v>
      </c>
      <c r="F70" s="27"/>
      <c r="G70" s="27"/>
      <c r="H70" s="27"/>
      <c r="J70" s="31"/>
      <c r="K70" s="31"/>
      <c r="L70" s="31"/>
      <c r="M70" s="31"/>
      <c r="N70" s="31"/>
      <c r="O70" s="31"/>
      <c r="P70" s="31"/>
      <c r="Q70" s="31"/>
    </row>
    <row r="71" s="1" customFormat="1" ht="15" spans="1:17">
      <c r="A71" s="43"/>
      <c r="B71" s="44"/>
      <c r="C71" s="44"/>
      <c r="D71" s="44"/>
      <c r="E71" s="44"/>
      <c r="F71" s="44"/>
      <c r="G71" s="44"/>
      <c r="H71" s="44"/>
      <c r="J71" s="31"/>
      <c r="K71" s="31"/>
      <c r="L71" s="31"/>
      <c r="M71" s="31"/>
      <c r="N71" s="31"/>
      <c r="O71" s="31"/>
      <c r="P71" s="31"/>
      <c r="Q71" s="31"/>
    </row>
    <row r="72" s="1" customFormat="1" ht="31.2" spans="1:17">
      <c r="A72" s="29" t="s">
        <v>1</v>
      </c>
      <c r="B72" s="29" t="s">
        <v>2</v>
      </c>
      <c r="C72" s="29" t="s">
        <v>3</v>
      </c>
      <c r="D72" s="30" t="s">
        <v>4</v>
      </c>
      <c r="E72" s="30" t="s">
        <v>5</v>
      </c>
      <c r="F72" s="30" t="s">
        <v>6</v>
      </c>
      <c r="G72" s="30" t="s">
        <v>7</v>
      </c>
      <c r="H72" s="30" t="s">
        <v>10</v>
      </c>
      <c r="J72" s="31"/>
      <c r="K72" s="31"/>
      <c r="L72" s="31"/>
      <c r="M72" s="31"/>
      <c r="N72" s="31"/>
      <c r="O72" s="31"/>
      <c r="P72" s="31"/>
      <c r="Q72" s="31"/>
    </row>
    <row r="73" s="1" customFormat="1" ht="15" spans="1:17">
      <c r="A73" s="40" t="s">
        <v>72</v>
      </c>
      <c r="B73" s="15" t="s">
        <v>73</v>
      </c>
      <c r="C73" s="27">
        <v>200</v>
      </c>
      <c r="D73" s="27" t="s">
        <v>13</v>
      </c>
      <c r="E73" s="32" t="s">
        <v>13</v>
      </c>
      <c r="F73" s="32" t="s">
        <v>13</v>
      </c>
      <c r="G73" s="32" t="s">
        <v>13</v>
      </c>
      <c r="H73" s="27" t="s">
        <v>14</v>
      </c>
      <c r="J73" s="31"/>
      <c r="K73" s="31"/>
      <c r="L73" s="31"/>
      <c r="M73" s="31"/>
      <c r="N73" s="31"/>
      <c r="O73" s="31"/>
      <c r="P73" s="31"/>
      <c r="Q73" s="31"/>
    </row>
    <row r="74" s="1" customFormat="1" ht="15" spans="1:17">
      <c r="A74" s="42"/>
      <c r="B74" s="15" t="s">
        <v>74</v>
      </c>
      <c r="C74" s="27">
        <v>300</v>
      </c>
      <c r="D74" s="27" t="s">
        <v>13</v>
      </c>
      <c r="E74" s="32" t="s">
        <v>13</v>
      </c>
      <c r="F74" s="32" t="s">
        <v>13</v>
      </c>
      <c r="G74" s="32" t="s">
        <v>13</v>
      </c>
      <c r="H74" s="27" t="s">
        <v>14</v>
      </c>
      <c r="J74" s="31"/>
      <c r="K74" s="31"/>
      <c r="L74" s="31"/>
      <c r="M74" s="31"/>
      <c r="N74" s="31"/>
      <c r="O74" s="31"/>
      <c r="P74" s="31"/>
      <c r="Q74" s="31"/>
    </row>
    <row r="75" s="1" customFormat="1" ht="15" spans="1:17">
      <c r="A75" s="42"/>
      <c r="B75" s="15" t="s">
        <v>75</v>
      </c>
      <c r="C75" s="27">
        <v>300</v>
      </c>
      <c r="D75" s="27" t="s">
        <v>13</v>
      </c>
      <c r="E75" s="32" t="s">
        <v>13</v>
      </c>
      <c r="F75" s="32" t="s">
        <v>13</v>
      </c>
      <c r="G75" s="32" t="s">
        <v>13</v>
      </c>
      <c r="H75" s="27" t="s">
        <v>14</v>
      </c>
      <c r="J75" s="31"/>
      <c r="K75" s="31"/>
      <c r="L75" s="31"/>
      <c r="M75" s="31"/>
      <c r="N75" s="31"/>
      <c r="O75" s="31"/>
      <c r="P75" s="31"/>
      <c r="Q75" s="31"/>
    </row>
    <row r="76" s="1" customFormat="1" ht="15" spans="1:17">
      <c r="A76" s="42"/>
      <c r="B76" s="15" t="s">
        <v>76</v>
      </c>
      <c r="C76" s="27">
        <v>400</v>
      </c>
      <c r="D76" s="27" t="s">
        <v>13</v>
      </c>
      <c r="E76" s="32" t="s">
        <v>13</v>
      </c>
      <c r="F76" s="32" t="s">
        <v>13</v>
      </c>
      <c r="G76" s="32" t="s">
        <v>13</v>
      </c>
      <c r="H76" s="27" t="s">
        <v>14</v>
      </c>
      <c r="J76" s="31"/>
      <c r="K76" s="31"/>
      <c r="L76" s="31"/>
      <c r="M76" s="31"/>
      <c r="N76" s="31"/>
      <c r="O76" s="31"/>
      <c r="P76" s="31"/>
      <c r="Q76" s="31"/>
    </row>
    <row r="77" s="1" customFormat="1" ht="15" spans="1:17">
      <c r="A77" s="42"/>
      <c r="B77" s="15" t="s">
        <v>77</v>
      </c>
      <c r="C77" s="27">
        <v>400</v>
      </c>
      <c r="D77" s="27"/>
      <c r="E77" s="32" t="s">
        <v>13</v>
      </c>
      <c r="F77" s="32" t="s">
        <v>13</v>
      </c>
      <c r="G77" s="32" t="s">
        <v>13</v>
      </c>
      <c r="H77" s="27" t="s">
        <v>14</v>
      </c>
      <c r="J77" s="31"/>
      <c r="K77" s="31"/>
      <c r="L77" s="31"/>
      <c r="M77" s="31"/>
      <c r="N77" s="31"/>
      <c r="O77" s="31"/>
      <c r="P77" s="31"/>
      <c r="Q77" s="31"/>
    </row>
    <row r="78" s="1" customFormat="1" ht="15" spans="1:17">
      <c r="A78" s="42"/>
      <c r="B78" s="15" t="s">
        <v>78</v>
      </c>
      <c r="C78" s="27">
        <v>500</v>
      </c>
      <c r="D78" s="27"/>
      <c r="E78" s="32"/>
      <c r="F78" s="32" t="s">
        <v>13</v>
      </c>
      <c r="G78" s="32" t="s">
        <v>13</v>
      </c>
      <c r="H78" s="27" t="s">
        <v>14</v>
      </c>
      <c r="J78" s="31"/>
      <c r="K78" s="31"/>
      <c r="L78" s="31"/>
      <c r="M78" s="31"/>
      <c r="N78" s="31"/>
      <c r="O78" s="31"/>
      <c r="P78" s="31"/>
      <c r="Q78" s="31"/>
    </row>
    <row r="79" s="1" customFormat="1" ht="15" spans="1:17">
      <c r="A79" s="42"/>
      <c r="B79" s="15" t="s">
        <v>79</v>
      </c>
      <c r="C79" s="27">
        <v>500</v>
      </c>
      <c r="D79" s="27"/>
      <c r="E79" s="32"/>
      <c r="F79" s="32" t="s">
        <v>13</v>
      </c>
      <c r="G79" s="32" t="s">
        <v>13</v>
      </c>
      <c r="H79" s="27" t="s">
        <v>14</v>
      </c>
      <c r="J79" s="31"/>
      <c r="K79" s="31"/>
      <c r="L79" s="31"/>
      <c r="M79" s="31"/>
      <c r="N79" s="31"/>
      <c r="O79" s="31"/>
      <c r="P79" s="31"/>
      <c r="Q79" s="31"/>
    </row>
    <row r="80" s="1" customFormat="1" ht="15" spans="1:17">
      <c r="A80" s="42"/>
      <c r="B80" s="15" t="s">
        <v>80</v>
      </c>
      <c r="C80" s="27">
        <v>700</v>
      </c>
      <c r="D80" s="27"/>
      <c r="E80" s="32"/>
      <c r="F80" s="32"/>
      <c r="G80" s="32" t="s">
        <v>13</v>
      </c>
      <c r="H80" s="27" t="s">
        <v>14</v>
      </c>
      <c r="J80" s="31"/>
      <c r="K80" s="31"/>
      <c r="L80" s="31"/>
      <c r="M80" s="31"/>
      <c r="N80" s="31"/>
      <c r="O80" s="31"/>
      <c r="P80" s="31"/>
      <c r="Q80" s="31"/>
    </row>
    <row r="81" s="1" customFormat="1" ht="15" spans="1:17">
      <c r="A81" s="45"/>
      <c r="B81" s="15" t="s">
        <v>81</v>
      </c>
      <c r="C81" s="27">
        <v>800</v>
      </c>
      <c r="D81" s="27"/>
      <c r="E81" s="32"/>
      <c r="F81" s="32"/>
      <c r="G81" s="32" t="s">
        <v>13</v>
      </c>
      <c r="H81" s="27" t="s">
        <v>14</v>
      </c>
      <c r="J81" s="31"/>
      <c r="K81" s="31"/>
      <c r="L81" s="31"/>
      <c r="M81" s="31"/>
      <c r="N81" s="31"/>
      <c r="O81" s="31"/>
      <c r="P81" s="31"/>
      <c r="Q81" s="31"/>
    </row>
    <row r="82" s="1" customFormat="1" ht="15" spans="1:17">
      <c r="A82" s="36"/>
      <c r="B82" s="37" t="s">
        <v>82</v>
      </c>
      <c r="C82" s="38"/>
      <c r="D82" s="27">
        <f>SUMIF(D73:D81,"&lt;&gt;",C73:C81)</f>
        <v>1200</v>
      </c>
      <c r="E82" s="27">
        <f>SUMIF(E73:E81,"&lt;&gt;",C73:C81)</f>
        <v>1600</v>
      </c>
      <c r="F82" s="27">
        <f>SUMIF(F73:F81,"&lt;&gt;",C73:C81)</f>
        <v>2600</v>
      </c>
      <c r="G82" s="27"/>
      <c r="H82" s="27"/>
      <c r="J82" s="31"/>
      <c r="K82" s="31"/>
      <c r="L82" s="31"/>
      <c r="M82" s="31"/>
      <c r="N82" s="31"/>
      <c r="O82" s="31"/>
      <c r="P82" s="31"/>
      <c r="Q82" s="31"/>
    </row>
    <row r="83" s="1" customFormat="1" ht="15" spans="1:17">
      <c r="A83" s="43"/>
      <c r="B83" s="44"/>
      <c r="C83" s="44"/>
      <c r="D83" s="44"/>
      <c r="E83" s="44"/>
      <c r="F83" s="44"/>
      <c r="G83" s="44"/>
      <c r="H83" s="44"/>
      <c r="J83" s="31"/>
      <c r="K83" s="31"/>
      <c r="L83" s="31"/>
      <c r="M83" s="31"/>
      <c r="N83" s="31"/>
      <c r="O83" s="31"/>
      <c r="P83" s="31"/>
      <c r="Q83" s="31"/>
    </row>
    <row r="84" s="1" customFormat="1" ht="31.2" spans="1:17">
      <c r="A84" s="29" t="s">
        <v>1</v>
      </c>
      <c r="B84" s="29" t="s">
        <v>2</v>
      </c>
      <c r="C84" s="29" t="s">
        <v>3</v>
      </c>
      <c r="D84" s="30" t="s">
        <v>4</v>
      </c>
      <c r="E84" s="30" t="s">
        <v>5</v>
      </c>
      <c r="F84" s="30" t="s">
        <v>6</v>
      </c>
      <c r="G84" s="30" t="s">
        <v>7</v>
      </c>
      <c r="H84" s="30" t="s">
        <v>10</v>
      </c>
      <c r="J84" s="31"/>
      <c r="K84" s="31"/>
      <c r="L84" s="31"/>
      <c r="M84" s="31"/>
      <c r="N84" s="31"/>
      <c r="O84" s="31"/>
      <c r="P84" s="31"/>
      <c r="Q84" s="31"/>
    </row>
    <row r="85" s="1" customFormat="1" ht="15" spans="1:17">
      <c r="A85" s="40" t="s">
        <v>83</v>
      </c>
      <c r="B85" s="15" t="s">
        <v>84</v>
      </c>
      <c r="C85" s="27">
        <v>200</v>
      </c>
      <c r="D85" s="27" t="s">
        <v>13</v>
      </c>
      <c r="E85" s="32" t="s">
        <v>13</v>
      </c>
      <c r="F85" s="32" t="s">
        <v>13</v>
      </c>
      <c r="G85" s="32" t="s">
        <v>13</v>
      </c>
      <c r="H85" s="27" t="s">
        <v>14</v>
      </c>
      <c r="J85" s="31"/>
      <c r="K85" s="31"/>
      <c r="L85" s="31"/>
      <c r="M85" s="31"/>
      <c r="N85" s="31"/>
      <c r="O85" s="31"/>
      <c r="P85" s="31"/>
      <c r="Q85" s="31"/>
    </row>
    <row r="86" s="1" customFormat="1" ht="15" spans="1:17">
      <c r="A86" s="42"/>
      <c r="B86" s="15" t="s">
        <v>85</v>
      </c>
      <c r="C86" s="27">
        <v>300</v>
      </c>
      <c r="D86" s="27" t="s">
        <v>13</v>
      </c>
      <c r="E86" s="32" t="s">
        <v>13</v>
      </c>
      <c r="F86" s="32" t="s">
        <v>13</v>
      </c>
      <c r="G86" s="32" t="s">
        <v>13</v>
      </c>
      <c r="H86" s="27" t="s">
        <v>14</v>
      </c>
      <c r="J86" s="31"/>
      <c r="K86" s="31"/>
      <c r="L86" s="31"/>
      <c r="M86" s="31"/>
      <c r="N86" s="31"/>
      <c r="O86" s="31"/>
      <c r="P86" s="31"/>
      <c r="Q86" s="31"/>
    </row>
    <row r="87" s="1" customFormat="1" ht="15" spans="1:17">
      <c r="A87" s="42"/>
      <c r="B87" s="15" t="s">
        <v>86</v>
      </c>
      <c r="C87" s="27">
        <v>300</v>
      </c>
      <c r="D87" s="27" t="s">
        <v>13</v>
      </c>
      <c r="E87" s="32" t="s">
        <v>13</v>
      </c>
      <c r="F87" s="32" t="s">
        <v>13</v>
      </c>
      <c r="G87" s="32" t="s">
        <v>13</v>
      </c>
      <c r="H87" s="27" t="s">
        <v>14</v>
      </c>
      <c r="J87" s="31"/>
      <c r="K87" s="31"/>
      <c r="L87" s="31"/>
      <c r="M87" s="31"/>
      <c r="N87" s="31"/>
      <c r="O87" s="31"/>
      <c r="P87" s="31"/>
      <c r="Q87" s="31"/>
    </row>
    <row r="88" s="1" customFormat="1" ht="15" spans="1:17">
      <c r="A88" s="42"/>
      <c r="B88" s="15" t="s">
        <v>87</v>
      </c>
      <c r="C88" s="27">
        <v>400</v>
      </c>
      <c r="D88" s="27" t="s">
        <v>13</v>
      </c>
      <c r="E88" s="32" t="s">
        <v>13</v>
      </c>
      <c r="F88" s="32" t="s">
        <v>13</v>
      </c>
      <c r="G88" s="32" t="s">
        <v>13</v>
      </c>
      <c r="H88" s="27" t="s">
        <v>14</v>
      </c>
      <c r="J88" s="31"/>
      <c r="K88" s="31"/>
      <c r="L88" s="31"/>
      <c r="M88" s="31"/>
      <c r="N88" s="31"/>
      <c r="O88" s="31"/>
      <c r="P88" s="31"/>
      <c r="Q88" s="31"/>
    </row>
    <row r="89" s="1" customFormat="1" ht="15" spans="1:17">
      <c r="A89" s="42"/>
      <c r="B89" s="41" t="s">
        <v>88</v>
      </c>
      <c r="C89" s="27">
        <v>400</v>
      </c>
      <c r="D89" s="27"/>
      <c r="E89" s="32" t="s">
        <v>13</v>
      </c>
      <c r="F89" s="32" t="s">
        <v>13</v>
      </c>
      <c r="G89" s="32" t="s">
        <v>13</v>
      </c>
      <c r="H89" s="27" t="s">
        <v>14</v>
      </c>
      <c r="J89" s="31"/>
      <c r="K89" s="31"/>
      <c r="L89" s="31"/>
      <c r="M89" s="31"/>
      <c r="N89" s="31"/>
      <c r="O89" s="31"/>
      <c r="P89" s="31"/>
      <c r="Q89" s="31"/>
    </row>
    <row r="90" s="1" customFormat="1" ht="15" spans="1:17">
      <c r="A90" s="42"/>
      <c r="B90" s="15" t="s">
        <v>89</v>
      </c>
      <c r="C90" s="27">
        <v>500</v>
      </c>
      <c r="D90" s="27"/>
      <c r="E90" s="32"/>
      <c r="F90" s="32" t="s">
        <v>13</v>
      </c>
      <c r="G90" s="32" t="s">
        <v>13</v>
      </c>
      <c r="H90" s="27" t="s">
        <v>14</v>
      </c>
      <c r="J90" s="31"/>
      <c r="K90" s="31"/>
      <c r="L90" s="31"/>
      <c r="M90" s="31"/>
      <c r="N90" s="31"/>
      <c r="O90" s="31"/>
      <c r="P90" s="31"/>
      <c r="Q90" s="31"/>
    </row>
    <row r="91" s="1" customFormat="1" ht="15" spans="1:17">
      <c r="A91" s="42"/>
      <c r="B91" s="15" t="s">
        <v>90</v>
      </c>
      <c r="C91" s="27">
        <v>500</v>
      </c>
      <c r="D91" s="27"/>
      <c r="E91" s="32"/>
      <c r="F91" s="32" t="s">
        <v>13</v>
      </c>
      <c r="G91" s="32" t="s">
        <v>13</v>
      </c>
      <c r="H91" s="27" t="s">
        <v>14</v>
      </c>
      <c r="J91" s="31"/>
      <c r="K91" s="31"/>
      <c r="L91" s="31"/>
      <c r="M91" s="31"/>
      <c r="N91" s="31"/>
      <c r="O91" s="31"/>
      <c r="P91" s="31"/>
      <c r="Q91" s="31"/>
    </row>
    <row r="92" s="1" customFormat="1" ht="15" spans="1:17">
      <c r="A92" s="42"/>
      <c r="B92" s="15" t="s">
        <v>91</v>
      </c>
      <c r="C92" s="27">
        <v>700</v>
      </c>
      <c r="D92" s="27"/>
      <c r="E92" s="32"/>
      <c r="F92" s="32"/>
      <c r="G92" s="32" t="s">
        <v>13</v>
      </c>
      <c r="H92" s="27" t="s">
        <v>14</v>
      </c>
      <c r="J92" s="31"/>
      <c r="K92" s="31"/>
      <c r="L92" s="31"/>
      <c r="M92" s="31"/>
      <c r="N92" s="31"/>
      <c r="O92" s="31"/>
      <c r="P92" s="31"/>
      <c r="Q92" s="31"/>
    </row>
    <row r="93" s="1" customFormat="1" ht="15" spans="1:17">
      <c r="A93" s="45"/>
      <c r="B93" s="15" t="s">
        <v>92</v>
      </c>
      <c r="C93" s="27">
        <v>800</v>
      </c>
      <c r="D93" s="27"/>
      <c r="E93" s="32"/>
      <c r="F93" s="32"/>
      <c r="G93" s="32" t="s">
        <v>13</v>
      </c>
      <c r="H93" s="27" t="s">
        <v>14</v>
      </c>
      <c r="J93" s="31"/>
      <c r="K93" s="31"/>
      <c r="L93" s="31"/>
      <c r="M93" s="31"/>
      <c r="N93" s="31"/>
      <c r="O93" s="31"/>
      <c r="P93" s="31"/>
      <c r="Q93" s="31"/>
    </row>
    <row r="94" s="1" customFormat="1" ht="15" spans="1:17">
      <c r="A94" s="36"/>
      <c r="B94" s="37" t="s">
        <v>83</v>
      </c>
      <c r="C94" s="38"/>
      <c r="D94" s="27">
        <f>SUMIF(D85:D93,"&lt;&gt;",C85:C93)</f>
        <v>1200</v>
      </c>
      <c r="E94" s="27">
        <f>SUMIF(E85:E93,"&lt;&gt;",C85:C93)</f>
        <v>1600</v>
      </c>
      <c r="F94" s="27">
        <f>SUMIF(F85:F93,"&lt;&gt;",C85:C93)</f>
        <v>2600</v>
      </c>
      <c r="G94" s="27">
        <f>SUMIF(G85:G93,"&lt;&gt;",C85:C93)</f>
        <v>4100</v>
      </c>
      <c r="H94" s="27"/>
      <c r="J94" s="31"/>
      <c r="K94" s="31"/>
      <c r="L94" s="31"/>
      <c r="M94" s="31"/>
      <c r="N94" s="31"/>
      <c r="O94" s="31"/>
      <c r="P94" s="31"/>
      <c r="Q94" s="31"/>
    </row>
    <row r="95" s="1" customFormat="1" ht="15" spans="1:17">
      <c r="A95" s="43"/>
      <c r="B95" s="44"/>
      <c r="C95" s="44"/>
      <c r="D95" s="44"/>
      <c r="E95" s="44"/>
      <c r="F95" s="44"/>
      <c r="G95" s="44"/>
      <c r="H95" s="44"/>
      <c r="J95" s="31"/>
      <c r="K95" s="31"/>
      <c r="L95" s="31"/>
      <c r="M95" s="31"/>
      <c r="N95" s="31"/>
      <c r="O95" s="31"/>
      <c r="P95" s="31"/>
      <c r="Q95" s="31"/>
    </row>
    <row r="96" s="1" customFormat="1" ht="31.2" spans="1:17">
      <c r="A96" s="29" t="s">
        <v>1</v>
      </c>
      <c r="B96" s="29" t="s">
        <v>2</v>
      </c>
      <c r="C96" s="29" t="s">
        <v>3</v>
      </c>
      <c r="D96" s="30" t="s">
        <v>4</v>
      </c>
      <c r="E96" s="30" t="s">
        <v>5</v>
      </c>
      <c r="F96" s="30" t="s">
        <v>6</v>
      </c>
      <c r="G96" s="30" t="s">
        <v>7</v>
      </c>
      <c r="H96" s="30" t="s">
        <v>8</v>
      </c>
      <c r="I96" s="30" t="s">
        <v>10</v>
      </c>
      <c r="J96" s="31"/>
      <c r="K96" s="31"/>
      <c r="L96" s="31"/>
      <c r="M96" s="31"/>
      <c r="N96" s="31"/>
      <c r="O96" s="31"/>
      <c r="P96" s="31"/>
      <c r="Q96" s="31"/>
    </row>
    <row r="97" s="1" customFormat="1" ht="15" spans="1:17">
      <c r="A97" s="40" t="s">
        <v>93</v>
      </c>
      <c r="B97" s="41" t="s">
        <v>94</v>
      </c>
      <c r="C97" s="27">
        <v>200</v>
      </c>
      <c r="D97" s="27" t="s">
        <v>13</v>
      </c>
      <c r="E97" s="27" t="s">
        <v>13</v>
      </c>
      <c r="F97" s="27" t="s">
        <v>13</v>
      </c>
      <c r="G97" s="32" t="s">
        <v>13</v>
      </c>
      <c r="H97" s="32" t="s">
        <v>13</v>
      </c>
      <c r="I97" s="27" t="s">
        <v>14</v>
      </c>
      <c r="J97" s="31"/>
      <c r="K97" s="31"/>
      <c r="L97" s="31"/>
      <c r="M97" s="31"/>
      <c r="N97" s="31"/>
      <c r="O97" s="31"/>
      <c r="P97" s="31"/>
      <c r="Q97" s="31"/>
    </row>
    <row r="98" s="1" customFormat="1" ht="15" spans="1:17">
      <c r="A98" s="42"/>
      <c r="B98" s="41" t="s">
        <v>95</v>
      </c>
      <c r="C98" s="27">
        <v>300</v>
      </c>
      <c r="D98" s="27" t="s">
        <v>13</v>
      </c>
      <c r="E98" s="27" t="s">
        <v>13</v>
      </c>
      <c r="F98" s="27" t="s">
        <v>13</v>
      </c>
      <c r="G98" s="27" t="s">
        <v>13</v>
      </c>
      <c r="H98" s="32" t="s">
        <v>13</v>
      </c>
      <c r="I98" s="27" t="s">
        <v>14</v>
      </c>
      <c r="J98" s="31"/>
      <c r="K98" s="31"/>
      <c r="L98" s="31"/>
      <c r="M98" s="31"/>
      <c r="N98" s="31"/>
      <c r="O98" s="31"/>
      <c r="P98" s="31"/>
      <c r="Q98" s="31"/>
    </row>
    <row r="99" s="1" customFormat="1" ht="15" spans="1:17">
      <c r="A99" s="42"/>
      <c r="B99" s="41" t="s">
        <v>96</v>
      </c>
      <c r="C99" s="27">
        <v>300</v>
      </c>
      <c r="D99" s="27" t="s">
        <v>13</v>
      </c>
      <c r="E99" s="27" t="s">
        <v>13</v>
      </c>
      <c r="F99" s="27" t="s">
        <v>13</v>
      </c>
      <c r="G99" s="27" t="s">
        <v>13</v>
      </c>
      <c r="H99" s="27" t="s">
        <v>13</v>
      </c>
      <c r="I99" s="27" t="s">
        <v>14</v>
      </c>
      <c r="J99" s="31"/>
      <c r="K99" s="31"/>
      <c r="L99" s="31"/>
      <c r="M99" s="31"/>
      <c r="N99" s="31"/>
      <c r="O99" s="31"/>
      <c r="P99" s="31"/>
      <c r="Q99" s="31"/>
    </row>
    <row r="100" s="1" customFormat="1" ht="15" spans="1:17">
      <c r="A100" s="42"/>
      <c r="B100" s="41" t="s">
        <v>97</v>
      </c>
      <c r="C100" s="27">
        <v>400</v>
      </c>
      <c r="D100" s="27" t="s">
        <v>13</v>
      </c>
      <c r="E100" s="27" t="s">
        <v>13</v>
      </c>
      <c r="F100" s="27" t="s">
        <v>13</v>
      </c>
      <c r="G100" s="27" t="s">
        <v>13</v>
      </c>
      <c r="H100" s="32" t="s">
        <v>13</v>
      </c>
      <c r="I100" s="27" t="s">
        <v>14</v>
      </c>
      <c r="J100" s="31"/>
      <c r="K100" s="31"/>
      <c r="L100" s="31"/>
      <c r="M100" s="31"/>
      <c r="N100" s="31"/>
      <c r="O100" s="31"/>
      <c r="P100" s="31"/>
      <c r="Q100" s="31"/>
    </row>
    <row r="101" s="1" customFormat="1" ht="15" spans="1:17">
      <c r="A101" s="42"/>
      <c r="B101" s="41" t="s">
        <v>98</v>
      </c>
      <c r="C101" s="27">
        <v>400</v>
      </c>
      <c r="D101" s="27"/>
      <c r="E101" s="27" t="s">
        <v>13</v>
      </c>
      <c r="F101" s="27" t="s">
        <v>13</v>
      </c>
      <c r="G101" s="32" t="s">
        <v>13</v>
      </c>
      <c r="H101" s="32" t="s">
        <v>13</v>
      </c>
      <c r="I101" s="27" t="s">
        <v>14</v>
      </c>
      <c r="J101" s="31"/>
      <c r="K101" s="31"/>
      <c r="L101" s="31"/>
      <c r="M101" s="31"/>
      <c r="N101" s="31"/>
      <c r="O101" s="31"/>
      <c r="P101" s="31"/>
      <c r="Q101" s="31"/>
    </row>
    <row r="102" s="1" customFormat="1" ht="15" spans="1:17">
      <c r="A102" s="42"/>
      <c r="B102" s="41" t="s">
        <v>99</v>
      </c>
      <c r="C102" s="27">
        <v>400</v>
      </c>
      <c r="D102" s="27"/>
      <c r="E102" s="27"/>
      <c r="F102" s="27" t="s">
        <v>13</v>
      </c>
      <c r="G102" s="32" t="s">
        <v>13</v>
      </c>
      <c r="H102" s="32" t="s">
        <v>13</v>
      </c>
      <c r="I102" s="27" t="s">
        <v>14</v>
      </c>
      <c r="J102" s="31"/>
      <c r="K102" s="31"/>
      <c r="L102" s="31"/>
      <c r="M102" s="31"/>
      <c r="N102" s="31"/>
      <c r="O102" s="31"/>
      <c r="P102" s="31"/>
      <c r="Q102" s="31"/>
    </row>
    <row r="103" s="1" customFormat="1" ht="15" spans="1:17">
      <c r="A103" s="42"/>
      <c r="B103" s="41" t="s">
        <v>100</v>
      </c>
      <c r="C103" s="27">
        <v>600</v>
      </c>
      <c r="D103" s="27"/>
      <c r="E103" s="27"/>
      <c r="F103" s="27" t="s">
        <v>13</v>
      </c>
      <c r="G103" s="32" t="s">
        <v>13</v>
      </c>
      <c r="H103" s="32" t="s">
        <v>13</v>
      </c>
      <c r="I103" s="27" t="s">
        <v>14</v>
      </c>
      <c r="J103" s="31"/>
      <c r="K103" s="31"/>
      <c r="L103" s="31"/>
      <c r="M103" s="31"/>
      <c r="N103" s="31"/>
      <c r="O103" s="31"/>
      <c r="P103" s="31"/>
      <c r="Q103" s="31"/>
    </row>
    <row r="104" s="1" customFormat="1" ht="15" spans="1:17">
      <c r="A104" s="42"/>
      <c r="B104" s="41" t="s">
        <v>101</v>
      </c>
      <c r="C104" s="27">
        <v>700</v>
      </c>
      <c r="D104" s="27"/>
      <c r="E104" s="27"/>
      <c r="F104" s="27"/>
      <c r="G104" s="32" t="s">
        <v>13</v>
      </c>
      <c r="H104" s="32" t="s">
        <v>13</v>
      </c>
      <c r="I104" s="27" t="s">
        <v>14</v>
      </c>
      <c r="J104" s="31"/>
      <c r="K104" s="31"/>
      <c r="L104" s="31"/>
      <c r="M104" s="31"/>
      <c r="N104" s="31"/>
      <c r="O104" s="31"/>
      <c r="P104" s="31"/>
      <c r="Q104" s="31"/>
    </row>
    <row r="105" s="1" customFormat="1" ht="15" spans="1:17">
      <c r="A105" s="42"/>
      <c r="B105" s="41" t="s">
        <v>102</v>
      </c>
      <c r="C105" s="27">
        <v>800</v>
      </c>
      <c r="D105" s="27"/>
      <c r="E105" s="27"/>
      <c r="F105" s="27"/>
      <c r="G105" s="32" t="s">
        <v>13</v>
      </c>
      <c r="H105" s="32" t="s">
        <v>13</v>
      </c>
      <c r="I105" s="27" t="s">
        <v>14</v>
      </c>
      <c r="J105" s="31"/>
      <c r="K105" s="31"/>
      <c r="L105" s="31"/>
      <c r="M105" s="31"/>
      <c r="N105" s="31"/>
      <c r="O105" s="31"/>
      <c r="P105" s="31"/>
      <c r="Q105" s="31"/>
    </row>
    <row r="106" s="1" customFormat="1" ht="15" spans="1:17">
      <c r="A106" s="42"/>
      <c r="B106" s="41" t="s">
        <v>103</v>
      </c>
      <c r="C106" s="27">
        <v>800</v>
      </c>
      <c r="D106" s="27"/>
      <c r="E106" s="27"/>
      <c r="F106" s="27"/>
      <c r="G106" s="32"/>
      <c r="H106" s="32" t="s">
        <v>13</v>
      </c>
      <c r="I106" s="27" t="s">
        <v>14</v>
      </c>
      <c r="J106" s="31"/>
      <c r="K106" s="31"/>
      <c r="L106" s="31"/>
      <c r="M106" s="31"/>
      <c r="N106" s="31"/>
      <c r="O106" s="31"/>
      <c r="P106" s="31"/>
      <c r="Q106" s="31"/>
    </row>
    <row r="107" s="1" customFormat="1" ht="15" spans="1:17">
      <c r="A107" s="45"/>
      <c r="B107" s="41" t="s">
        <v>104</v>
      </c>
      <c r="C107" s="27">
        <v>800</v>
      </c>
      <c r="D107" s="27"/>
      <c r="E107" s="27"/>
      <c r="F107" s="27"/>
      <c r="G107" s="27"/>
      <c r="H107" s="32" t="s">
        <v>13</v>
      </c>
      <c r="I107" s="27" t="s">
        <v>14</v>
      </c>
      <c r="J107" s="31"/>
      <c r="K107" s="31"/>
      <c r="L107" s="31"/>
      <c r="M107" s="31"/>
      <c r="N107" s="31"/>
      <c r="O107" s="31"/>
      <c r="P107" s="31"/>
      <c r="Q107" s="31"/>
    </row>
    <row r="108" s="1" customFormat="1" ht="15" spans="1:17">
      <c r="A108" s="36"/>
      <c r="B108" s="37" t="s">
        <v>93</v>
      </c>
      <c r="C108" s="38">
        <f>SUM(C97:C107)</f>
        <v>5700</v>
      </c>
      <c r="D108" s="27">
        <f>SUMIF(D97:D107,"&lt;&gt;",C97:C107)</f>
        <v>1200</v>
      </c>
      <c r="E108" s="27">
        <f>SUMIF(E97:E107,"&lt;&gt;",C97:C107)</f>
        <v>1600</v>
      </c>
      <c r="F108" s="27">
        <f>SUMIF(F97:F107,"&lt;&gt;",C97:C107)</f>
        <v>2600</v>
      </c>
      <c r="G108" s="27">
        <f>SUMIF(G97:G107,"&lt;&gt;",C97:C107)</f>
        <v>4100</v>
      </c>
      <c r="H108" s="27">
        <f>SUMIF(H97:H107,"&lt;&gt;",C97:C107)</f>
        <v>5700</v>
      </c>
      <c r="I108" s="27"/>
      <c r="J108" s="31"/>
      <c r="K108" s="31"/>
      <c r="L108" s="31"/>
      <c r="M108" s="31"/>
      <c r="N108" s="31"/>
      <c r="O108" s="31"/>
      <c r="P108" s="31"/>
      <c r="Q108" s="31"/>
    </row>
    <row r="110" customFormat="1" spans="1:17">
      <c r="A110" t="s">
        <v>105</v>
      </c>
    </row>
    <row r="111" s="2" customFormat="1" ht="31.2" spans="1:17">
      <c r="A111" s="29" t="s">
        <v>1</v>
      </c>
      <c r="B111" s="29" t="s">
        <v>2</v>
      </c>
      <c r="C111" s="29" t="s">
        <v>3</v>
      </c>
      <c r="D111" s="30" t="s">
        <v>4</v>
      </c>
      <c r="E111" s="30" t="s">
        <v>6</v>
      </c>
      <c r="F111" s="30" t="s">
        <v>7</v>
      </c>
      <c r="G111" s="30" t="s">
        <v>8</v>
      </c>
      <c r="H111" s="30" t="s">
        <v>10</v>
      </c>
    </row>
    <row r="112" s="2" customFormat="1" ht="15.6" spans="1:17">
      <c r="A112" s="27" t="s">
        <v>106</v>
      </c>
      <c r="B112" s="15" t="s">
        <v>107</v>
      </c>
      <c r="C112" s="27">
        <v>150</v>
      </c>
      <c r="D112" s="27" t="s">
        <v>13</v>
      </c>
      <c r="E112" s="27" t="s">
        <v>13</v>
      </c>
      <c r="F112" s="27" t="s">
        <v>13</v>
      </c>
      <c r="G112" s="27"/>
      <c r="H112" s="27" t="s">
        <v>14</v>
      </c>
    </row>
    <row r="113" s="2" customFormat="1" ht="15.6" spans="1:8">
      <c r="A113" s="27"/>
      <c r="B113" s="15" t="s">
        <v>108</v>
      </c>
      <c r="C113" s="27">
        <v>150</v>
      </c>
      <c r="D113" s="27" t="s">
        <v>13</v>
      </c>
      <c r="E113" s="27" t="s">
        <v>13</v>
      </c>
      <c r="F113" s="27" t="s">
        <v>13</v>
      </c>
      <c r="G113" s="27"/>
      <c r="H113" s="27" t="s">
        <v>14</v>
      </c>
    </row>
    <row r="114" s="2" customFormat="1" ht="15.6" spans="1:8">
      <c r="A114" s="27"/>
      <c r="B114" s="15" t="s">
        <v>109</v>
      </c>
      <c r="C114" s="27">
        <v>200</v>
      </c>
      <c r="D114" s="27"/>
      <c r="E114" s="27" t="s">
        <v>13</v>
      </c>
      <c r="F114" s="27" t="s">
        <v>13</v>
      </c>
      <c r="G114" s="27"/>
      <c r="H114" s="27" t="s">
        <v>14</v>
      </c>
    </row>
    <row r="115" s="2" customFormat="1" ht="15.6" spans="1:8">
      <c r="A115" s="27"/>
      <c r="B115" s="15" t="s">
        <v>110</v>
      </c>
      <c r="C115" s="27">
        <v>200</v>
      </c>
      <c r="D115" s="27"/>
      <c r="E115" s="27" t="s">
        <v>13</v>
      </c>
      <c r="F115" s="27" t="s">
        <v>13</v>
      </c>
      <c r="G115" s="27"/>
      <c r="H115" s="27" t="s">
        <v>14</v>
      </c>
    </row>
    <row r="116" s="2" customFormat="1" ht="15.6" spans="1:8">
      <c r="A116" s="27"/>
      <c r="B116" s="15" t="s">
        <v>111</v>
      </c>
      <c r="C116" s="27">
        <v>300</v>
      </c>
      <c r="D116" s="27"/>
      <c r="E116" s="27" t="s">
        <v>13</v>
      </c>
      <c r="F116" s="27" t="s">
        <v>13</v>
      </c>
      <c r="G116" s="27"/>
      <c r="H116" s="27" t="s">
        <v>14</v>
      </c>
    </row>
    <row r="117" s="2" customFormat="1" ht="15.6" spans="1:8">
      <c r="A117" s="27"/>
      <c r="B117" s="15" t="s">
        <v>112</v>
      </c>
      <c r="C117" s="27">
        <v>700</v>
      </c>
      <c r="D117" s="27"/>
      <c r="E117" s="27"/>
      <c r="F117" s="27" t="s">
        <v>13</v>
      </c>
      <c r="G117" s="27"/>
      <c r="H117" s="27" t="s">
        <v>113</v>
      </c>
    </row>
    <row r="118" s="2" customFormat="1" ht="15.6" spans="1:8">
      <c r="A118" s="27"/>
      <c r="B118" s="15" t="s">
        <v>114</v>
      </c>
      <c r="C118" s="27">
        <v>1000</v>
      </c>
      <c r="D118" s="27"/>
      <c r="E118" s="27"/>
      <c r="F118" s="27" t="s">
        <v>13</v>
      </c>
      <c r="G118" s="27"/>
      <c r="H118" s="27" t="s">
        <v>14</v>
      </c>
    </row>
    <row r="119" s="2" customFormat="1" ht="15.6" spans="1:8">
      <c r="A119" s="36"/>
      <c r="B119" s="37" t="s">
        <v>106</v>
      </c>
      <c r="C119" s="38"/>
      <c r="D119" s="27">
        <f>SUMIF(D112:D118,"&lt;&gt;",C112:C118)</f>
        <v>300</v>
      </c>
      <c r="E119" s="27">
        <f>SUMIF(E112:E118,"&lt;&gt;",C112:C118)</f>
        <v>1000</v>
      </c>
      <c r="F119" s="27">
        <f>SUMIF(F112:F118,"&lt;&gt;",C112:C118)</f>
        <v>2700</v>
      </c>
      <c r="G119" s="27">
        <f>SUMIF(G112:G118,"&lt;&gt;",C112:C118)</f>
        <v>0</v>
      </c>
      <c r="H119" s="27"/>
    </row>
    <row r="120" s="2" customFormat="1" ht="12.95" customHeight="1" spans="1:8">
      <c r="D120" s="39"/>
      <c r="E120" s="39"/>
      <c r="F120" s="39"/>
      <c r="G120" s="39"/>
      <c r="H120" s="39"/>
    </row>
    <row r="121" s="2" customFormat="1" ht="31.2" spans="1:8">
      <c r="A121" s="29" t="s">
        <v>1</v>
      </c>
      <c r="B121" s="29" t="s">
        <v>2</v>
      </c>
      <c r="C121" s="29" t="s">
        <v>3</v>
      </c>
      <c r="D121" s="30" t="s">
        <v>4</v>
      </c>
      <c r="E121" s="30" t="s">
        <v>6</v>
      </c>
      <c r="F121" s="30" t="s">
        <v>7</v>
      </c>
      <c r="G121" s="30" t="s">
        <v>8</v>
      </c>
      <c r="H121" s="30"/>
    </row>
    <row r="122" s="2" customFormat="1" ht="15.6" spans="1:8">
      <c r="A122" s="27" t="s">
        <v>115</v>
      </c>
      <c r="B122" s="15" t="s">
        <v>116</v>
      </c>
      <c r="C122" s="27">
        <v>150</v>
      </c>
      <c r="D122" s="27" t="s">
        <v>13</v>
      </c>
      <c r="E122" s="27" t="s">
        <v>13</v>
      </c>
      <c r="F122" s="27" t="s">
        <v>13</v>
      </c>
      <c r="G122" s="27"/>
      <c r="H122" s="27" t="s">
        <v>14</v>
      </c>
    </row>
    <row r="123" s="2" customFormat="1" ht="15.6" spans="1:8">
      <c r="A123" s="27"/>
      <c r="B123" s="15" t="s">
        <v>117</v>
      </c>
      <c r="C123" s="27">
        <v>150</v>
      </c>
      <c r="D123" s="27" t="s">
        <v>13</v>
      </c>
      <c r="E123" s="27" t="s">
        <v>13</v>
      </c>
      <c r="F123" s="27" t="s">
        <v>13</v>
      </c>
      <c r="G123" s="27"/>
      <c r="H123" s="27" t="s">
        <v>113</v>
      </c>
    </row>
    <row r="124" s="2" customFormat="1" ht="15.6" spans="1:8">
      <c r="A124" s="27"/>
      <c r="B124" s="15" t="s">
        <v>118</v>
      </c>
      <c r="C124" s="27">
        <v>200</v>
      </c>
      <c r="D124" s="27"/>
      <c r="E124" s="27" t="s">
        <v>13</v>
      </c>
      <c r="F124" s="27" t="s">
        <v>13</v>
      </c>
      <c r="G124" s="27"/>
      <c r="H124" s="27" t="s">
        <v>14</v>
      </c>
    </row>
    <row r="125" s="2" customFormat="1" ht="15.6" spans="1:8">
      <c r="A125" s="27"/>
      <c r="B125" s="15" t="s">
        <v>119</v>
      </c>
      <c r="C125" s="27">
        <v>500</v>
      </c>
      <c r="D125" s="27"/>
      <c r="E125" s="27" t="s">
        <v>13</v>
      </c>
      <c r="F125" s="27" t="s">
        <v>13</v>
      </c>
      <c r="G125" s="27"/>
      <c r="H125" s="27" t="s">
        <v>14</v>
      </c>
    </row>
    <row r="126" s="2" customFormat="1" ht="15.6" spans="1:8">
      <c r="A126" s="27"/>
      <c r="B126" s="15" t="s">
        <v>120</v>
      </c>
      <c r="C126" s="27">
        <v>700</v>
      </c>
      <c r="D126" s="27"/>
      <c r="E126" s="27"/>
      <c r="F126" s="27" t="s">
        <v>13</v>
      </c>
      <c r="G126" s="27"/>
      <c r="H126" s="27" t="s">
        <v>14</v>
      </c>
    </row>
    <row r="127" s="2" customFormat="1" ht="15.6" spans="1:8">
      <c r="A127" s="27"/>
      <c r="B127" s="15" t="s">
        <v>121</v>
      </c>
      <c r="C127" s="27">
        <v>1000</v>
      </c>
      <c r="D127" s="27"/>
      <c r="E127" s="27"/>
      <c r="F127" s="27" t="s">
        <v>13</v>
      </c>
      <c r="G127" s="27"/>
      <c r="H127" s="27" t="s">
        <v>14</v>
      </c>
    </row>
    <row r="128" s="2" customFormat="1" ht="15.6" spans="1:8">
      <c r="A128" s="36"/>
      <c r="B128" s="37" t="s">
        <v>115</v>
      </c>
      <c r="C128" s="38"/>
      <c r="D128" s="27">
        <f>SUMIF(D122:D127,"&lt;&gt;",C122:C127)</f>
        <v>300</v>
      </c>
      <c r="E128" s="27">
        <f>SUMIF(E122:E127,"&lt;&gt;",C122:C127)</f>
        <v>1000</v>
      </c>
      <c r="F128" s="27">
        <f>SUMIF(F122:F127,"&lt;&gt;",C122:C127)</f>
        <v>2700</v>
      </c>
      <c r="G128" s="27">
        <f>SUMIF(G122:G127,"&lt;&gt;",C122:C127)</f>
        <v>0</v>
      </c>
      <c r="H128" s="27"/>
    </row>
    <row r="129" s="2" customFormat="1" ht="15.6" spans="1:9">
      <c r="D129" s="39"/>
      <c r="E129" s="39"/>
      <c r="F129" s="39"/>
      <c r="G129" s="39"/>
      <c r="H129" s="39"/>
      <c r="I129" s="39"/>
    </row>
    <row r="130" s="2" customFormat="1" ht="31.2" spans="1:9">
      <c r="A130" s="29" t="s">
        <v>1</v>
      </c>
      <c r="B130" s="29" t="s">
        <v>2</v>
      </c>
      <c r="C130" s="29" t="s">
        <v>3</v>
      </c>
      <c r="D130" s="30" t="s">
        <v>4</v>
      </c>
      <c r="E130" s="30" t="s">
        <v>5</v>
      </c>
      <c r="F130" s="30" t="s">
        <v>6</v>
      </c>
      <c r="G130" s="30" t="s">
        <v>7</v>
      </c>
      <c r="H130" s="30" t="s">
        <v>8</v>
      </c>
      <c r="I130" s="30" t="s">
        <v>10</v>
      </c>
    </row>
    <row r="131" s="2" customFormat="1" ht="15.6" spans="1:9">
      <c r="A131" s="27" t="s">
        <v>122</v>
      </c>
      <c r="B131" s="15" t="s">
        <v>123</v>
      </c>
      <c r="C131" s="27">
        <v>600</v>
      </c>
      <c r="D131" s="27" t="s">
        <v>13</v>
      </c>
      <c r="E131" s="27" t="s">
        <v>13</v>
      </c>
      <c r="F131" s="27" t="s">
        <v>13</v>
      </c>
      <c r="G131" s="27" t="s">
        <v>13</v>
      </c>
      <c r="H131" s="27" t="s">
        <v>13</v>
      </c>
      <c r="I131" s="27" t="s">
        <v>14</v>
      </c>
    </row>
    <row r="132" s="2" customFormat="1" ht="15.6" spans="1:9">
      <c r="A132" s="27"/>
      <c r="B132" s="15" t="s">
        <v>124</v>
      </c>
      <c r="C132" s="27">
        <v>600</v>
      </c>
      <c r="D132" s="27" t="s">
        <v>13</v>
      </c>
      <c r="E132" s="27" t="s">
        <v>13</v>
      </c>
      <c r="F132" s="27" t="s">
        <v>13</v>
      </c>
      <c r="G132" s="27" t="s">
        <v>13</v>
      </c>
      <c r="H132" s="27" t="s">
        <v>13</v>
      </c>
      <c r="I132" s="27" t="s">
        <v>14</v>
      </c>
    </row>
    <row r="133" s="2" customFormat="1" ht="15" customHeight="1" spans="1:9">
      <c r="A133" s="27"/>
      <c r="B133" s="15" t="s">
        <v>125</v>
      </c>
      <c r="C133" s="27">
        <v>700</v>
      </c>
      <c r="D133" s="27"/>
      <c r="E133" s="27" t="s">
        <v>13</v>
      </c>
      <c r="F133" s="27" t="s">
        <v>13</v>
      </c>
      <c r="G133" s="27" t="s">
        <v>13</v>
      </c>
      <c r="H133" s="27" t="s">
        <v>13</v>
      </c>
      <c r="I133" s="27" t="s">
        <v>14</v>
      </c>
    </row>
    <row r="134" s="2" customFormat="1" ht="15" customHeight="1" spans="1:9">
      <c r="A134" s="27"/>
      <c r="B134" s="15" t="s">
        <v>126</v>
      </c>
      <c r="C134" s="27">
        <v>700</v>
      </c>
      <c r="D134" s="27"/>
      <c r="E134" s="27"/>
      <c r="F134" s="27" t="s">
        <v>13</v>
      </c>
      <c r="G134" s="27" t="s">
        <v>13</v>
      </c>
      <c r="H134" s="27" t="s">
        <v>13</v>
      </c>
      <c r="I134" s="27" t="s">
        <v>14</v>
      </c>
    </row>
    <row r="135" s="2" customFormat="1" ht="15" customHeight="1" spans="1:9">
      <c r="A135" s="27"/>
      <c r="B135" s="15" t="s">
        <v>127</v>
      </c>
      <c r="C135" s="27">
        <v>700</v>
      </c>
      <c r="D135" s="27"/>
      <c r="E135" s="27"/>
      <c r="F135" s="27"/>
      <c r="G135" s="27" t="s">
        <v>13</v>
      </c>
      <c r="H135" s="27" t="s">
        <v>13</v>
      </c>
      <c r="I135" s="27" t="s">
        <v>14</v>
      </c>
    </row>
    <row r="136" s="2" customFormat="1" ht="15" customHeight="1" spans="1:9">
      <c r="A136" s="27"/>
      <c r="B136" s="15" t="s">
        <v>128</v>
      </c>
      <c r="C136" s="27">
        <v>800</v>
      </c>
      <c r="D136" s="27"/>
      <c r="E136" s="27"/>
      <c r="F136" s="27"/>
      <c r="G136" s="27" t="s">
        <v>13</v>
      </c>
      <c r="H136" s="27" t="s">
        <v>13</v>
      </c>
      <c r="I136" s="27" t="s">
        <v>14</v>
      </c>
    </row>
    <row r="137" s="2" customFormat="1" ht="15" customHeight="1" spans="1:9">
      <c r="A137" s="27"/>
      <c r="B137" s="15" t="s">
        <v>129</v>
      </c>
      <c r="C137" s="27">
        <v>800</v>
      </c>
      <c r="D137" s="27"/>
      <c r="E137" s="27"/>
      <c r="F137" s="27"/>
      <c r="G137" s="27"/>
      <c r="H137" s="27" t="s">
        <v>13</v>
      </c>
      <c r="I137" s="27" t="s">
        <v>14</v>
      </c>
    </row>
    <row r="138" s="2" customFormat="1" ht="15" customHeight="1" spans="1:9">
      <c r="A138" s="27"/>
      <c r="B138" s="15" t="s">
        <v>130</v>
      </c>
      <c r="C138" s="27">
        <v>800</v>
      </c>
      <c r="D138" s="27"/>
      <c r="E138" s="27"/>
      <c r="F138" s="27"/>
      <c r="G138" s="27"/>
      <c r="H138" s="27" t="s">
        <v>13</v>
      </c>
      <c r="I138" s="27" t="s">
        <v>14</v>
      </c>
    </row>
    <row r="139" s="2" customFormat="1" ht="15" customHeight="1" spans="1:9">
      <c r="A139" s="36"/>
      <c r="B139" s="37" t="s">
        <v>122</v>
      </c>
      <c r="C139" s="38"/>
      <c r="D139" s="27">
        <f>SUMIF(D131:D138,"&lt;&gt;",C131:C138)</f>
        <v>1200</v>
      </c>
      <c r="E139" s="27">
        <f>SUMIF(E131:E138,"&lt;&gt;",C131:C138)</f>
        <v>1900</v>
      </c>
      <c r="F139" s="27">
        <f>SUMIF(F131:F138,"&lt;&gt;",C131:C138)</f>
        <v>2600</v>
      </c>
      <c r="G139" s="27">
        <f>SUMIF(G131:G138,"&lt;&gt;",C131:C138)</f>
        <v>4100</v>
      </c>
      <c r="H139" s="27">
        <f>SUMIF(H131:H138,"&lt;&gt;",C131:C138)</f>
        <v>5700</v>
      </c>
      <c r="I139" s="27"/>
    </row>
    <row r="140" s="2" customFormat="1" ht="15" customHeight="1" spans="1:9">
      <c r="D140" s="39"/>
      <c r="E140" s="39"/>
      <c r="F140" s="39"/>
      <c r="G140" s="39"/>
      <c r="H140" s="39"/>
      <c r="I140" s="39"/>
    </row>
    <row r="141" s="2" customFormat="1" ht="31.2" spans="1:9">
      <c r="A141" s="29" t="s">
        <v>1</v>
      </c>
      <c r="B141" s="29" t="s">
        <v>2</v>
      </c>
      <c r="C141" s="29" t="s">
        <v>3</v>
      </c>
      <c r="D141" s="30" t="s">
        <v>4</v>
      </c>
      <c r="E141" s="30" t="s">
        <v>5</v>
      </c>
      <c r="F141" s="30" t="s">
        <v>6</v>
      </c>
      <c r="G141" s="30" t="s">
        <v>7</v>
      </c>
      <c r="H141" s="30" t="s">
        <v>8</v>
      </c>
      <c r="I141" s="30" t="s">
        <v>10</v>
      </c>
    </row>
    <row r="142" s="2" customFormat="1" ht="15" customHeight="1" spans="1:9">
      <c r="A142" s="27" t="s">
        <v>131</v>
      </c>
      <c r="B142" s="15" t="s">
        <v>132</v>
      </c>
      <c r="C142" s="27">
        <v>600</v>
      </c>
      <c r="D142" s="27" t="s">
        <v>13</v>
      </c>
      <c r="E142" s="27" t="s">
        <v>13</v>
      </c>
      <c r="F142" s="27" t="s">
        <v>13</v>
      </c>
      <c r="G142" s="27" t="s">
        <v>13</v>
      </c>
      <c r="H142" s="27" t="s">
        <v>13</v>
      </c>
      <c r="I142" s="27" t="s">
        <v>14</v>
      </c>
    </row>
    <row r="143" s="2" customFormat="1" ht="15" customHeight="1" spans="1:9">
      <c r="A143" s="27"/>
      <c r="B143" s="15" t="s">
        <v>133</v>
      </c>
      <c r="C143" s="27">
        <v>600</v>
      </c>
      <c r="D143" s="27" t="s">
        <v>13</v>
      </c>
      <c r="E143" s="27" t="s">
        <v>13</v>
      </c>
      <c r="F143" s="27" t="s">
        <v>13</v>
      </c>
      <c r="G143" s="27" t="s">
        <v>13</v>
      </c>
      <c r="H143" s="27" t="s">
        <v>13</v>
      </c>
      <c r="I143" s="27" t="s">
        <v>14</v>
      </c>
    </row>
    <row r="144" s="2" customFormat="1" ht="15" customHeight="1" spans="1:9">
      <c r="A144" s="27"/>
      <c r="B144" s="15" t="s">
        <v>134</v>
      </c>
      <c r="C144" s="27">
        <v>700</v>
      </c>
      <c r="D144" s="27"/>
      <c r="E144" s="27" t="s">
        <v>13</v>
      </c>
      <c r="F144" s="27" t="s">
        <v>13</v>
      </c>
      <c r="G144" s="27" t="s">
        <v>13</v>
      </c>
      <c r="H144" s="27" t="s">
        <v>13</v>
      </c>
      <c r="I144" s="27" t="s">
        <v>14</v>
      </c>
    </row>
    <row r="145" s="2" customFormat="1" ht="15" customHeight="1" spans="1:9">
      <c r="A145" s="27"/>
      <c r="B145" s="15" t="s">
        <v>135</v>
      </c>
      <c r="C145" s="27">
        <v>700</v>
      </c>
      <c r="D145" s="27"/>
      <c r="E145" s="27"/>
      <c r="F145" s="27" t="s">
        <v>13</v>
      </c>
      <c r="G145" s="27" t="s">
        <v>13</v>
      </c>
      <c r="H145" s="27" t="s">
        <v>13</v>
      </c>
      <c r="I145" s="27" t="s">
        <v>14</v>
      </c>
    </row>
    <row r="146" s="2" customFormat="1" ht="15" customHeight="1" spans="1:9">
      <c r="A146" s="27"/>
      <c r="B146" s="15" t="s">
        <v>136</v>
      </c>
      <c r="C146" s="27">
        <v>700</v>
      </c>
      <c r="D146" s="27"/>
      <c r="E146" s="27"/>
      <c r="F146" s="27"/>
      <c r="G146" s="27" t="s">
        <v>13</v>
      </c>
      <c r="H146" s="27" t="s">
        <v>13</v>
      </c>
      <c r="I146" s="27" t="s">
        <v>14</v>
      </c>
    </row>
    <row r="147" s="2" customFormat="1" ht="15" customHeight="1" spans="1:9">
      <c r="A147" s="27"/>
      <c r="B147" s="15" t="s">
        <v>137</v>
      </c>
      <c r="C147" s="27">
        <v>800</v>
      </c>
      <c r="D147" s="27"/>
      <c r="E147" s="27"/>
      <c r="F147" s="27"/>
      <c r="G147" s="27" t="s">
        <v>13</v>
      </c>
      <c r="H147" s="27" t="s">
        <v>13</v>
      </c>
      <c r="I147" s="27" t="s">
        <v>14</v>
      </c>
    </row>
    <row r="148" s="2" customFormat="1" ht="15" customHeight="1" spans="1:9">
      <c r="A148" s="27"/>
      <c r="B148" s="15" t="s">
        <v>138</v>
      </c>
      <c r="C148" s="27">
        <v>800</v>
      </c>
      <c r="D148" s="27"/>
      <c r="E148" s="27"/>
      <c r="F148" s="27"/>
      <c r="G148" s="27"/>
      <c r="H148" s="27" t="s">
        <v>13</v>
      </c>
      <c r="I148" s="27" t="s">
        <v>14</v>
      </c>
    </row>
    <row r="149" s="2" customFormat="1" ht="15" customHeight="1" spans="1:9">
      <c r="A149" s="27"/>
      <c r="B149" s="15" t="s">
        <v>139</v>
      </c>
      <c r="C149" s="27">
        <v>800</v>
      </c>
      <c r="D149" s="27"/>
      <c r="E149" s="27"/>
      <c r="F149" s="27"/>
      <c r="G149" s="27"/>
      <c r="H149" s="27" t="s">
        <v>13</v>
      </c>
      <c r="I149" s="27" t="s">
        <v>14</v>
      </c>
    </row>
    <row r="150" s="2" customFormat="1" ht="15" customHeight="1" spans="1:9">
      <c r="A150" s="36"/>
      <c r="B150" s="37" t="s">
        <v>131</v>
      </c>
      <c r="C150" s="38"/>
      <c r="D150" s="27">
        <f>SUMIF(D142:D149,"&lt;&gt;",C142:C149)</f>
        <v>1200</v>
      </c>
      <c r="E150" s="27">
        <f>SUMIF(E142:E149,"&lt;&gt;",C142:C149)</f>
        <v>1900</v>
      </c>
      <c r="F150" s="27">
        <f>SUMIF(F142:F149,"&lt;&gt;",C142:C149)</f>
        <v>2600</v>
      </c>
      <c r="G150" s="27">
        <f>SUMIF(G142:G149,"&lt;&gt;",C142:C149)</f>
        <v>4100</v>
      </c>
      <c r="H150" s="27">
        <f>SUMIF(H142:H149,"&lt;&gt;",C142:C149)</f>
        <v>5700</v>
      </c>
      <c r="I150" s="27"/>
    </row>
    <row r="151" s="2" customFormat="1" ht="15" customHeight="1" spans="1:9">
      <c r="D151" s="39"/>
      <c r="E151" s="39"/>
      <c r="F151" s="39"/>
      <c r="G151" s="39"/>
      <c r="H151" s="39"/>
      <c r="I151" s="39"/>
    </row>
    <row r="152" s="2" customFormat="1" ht="31.2" spans="1:9">
      <c r="A152" s="29" t="s">
        <v>1</v>
      </c>
      <c r="B152" s="29" t="s">
        <v>2</v>
      </c>
      <c r="C152" s="29" t="s">
        <v>3</v>
      </c>
      <c r="D152" s="30" t="s">
        <v>4</v>
      </c>
      <c r="E152" s="30" t="s">
        <v>5</v>
      </c>
      <c r="F152" s="30" t="s">
        <v>6</v>
      </c>
      <c r="G152" s="30" t="s">
        <v>7</v>
      </c>
      <c r="H152" s="30" t="s">
        <v>8</v>
      </c>
      <c r="I152" s="30" t="s">
        <v>10</v>
      </c>
    </row>
    <row r="153" s="2" customFormat="1" ht="15" customHeight="1" spans="1:9">
      <c r="A153" s="27" t="s">
        <v>140</v>
      </c>
      <c r="B153" s="15" t="s">
        <v>141</v>
      </c>
      <c r="C153" s="27">
        <v>600</v>
      </c>
      <c r="D153" s="27" t="s">
        <v>13</v>
      </c>
      <c r="E153" s="27" t="s">
        <v>13</v>
      </c>
      <c r="F153" s="27" t="s">
        <v>13</v>
      </c>
      <c r="G153" s="27" t="s">
        <v>13</v>
      </c>
      <c r="H153" s="27" t="s">
        <v>13</v>
      </c>
      <c r="I153" s="27" t="s">
        <v>14</v>
      </c>
    </row>
    <row r="154" s="2" customFormat="1" ht="15" customHeight="1" spans="1:9">
      <c r="A154" s="27"/>
      <c r="B154" s="15" t="s">
        <v>142</v>
      </c>
      <c r="C154" s="27">
        <v>600</v>
      </c>
      <c r="D154" s="27" t="s">
        <v>13</v>
      </c>
      <c r="E154" s="27" t="s">
        <v>13</v>
      </c>
      <c r="F154" s="27" t="s">
        <v>13</v>
      </c>
      <c r="G154" s="27" t="s">
        <v>13</v>
      </c>
      <c r="H154" s="27" t="s">
        <v>13</v>
      </c>
      <c r="I154" s="27" t="s">
        <v>14</v>
      </c>
    </row>
    <row r="155" s="2" customFormat="1" ht="15" customHeight="1" spans="1:9">
      <c r="A155" s="27"/>
      <c r="B155" s="15" t="s">
        <v>143</v>
      </c>
      <c r="C155" s="27">
        <v>700</v>
      </c>
      <c r="D155" s="27"/>
      <c r="E155" s="27" t="s">
        <v>13</v>
      </c>
      <c r="F155" s="27" t="s">
        <v>13</v>
      </c>
      <c r="G155" s="27" t="s">
        <v>13</v>
      </c>
      <c r="H155" s="27" t="s">
        <v>13</v>
      </c>
      <c r="I155" s="27" t="s">
        <v>14</v>
      </c>
    </row>
    <row r="156" s="2" customFormat="1" ht="15" customHeight="1" spans="1:9">
      <c r="A156" s="27"/>
      <c r="B156" s="15" t="s">
        <v>144</v>
      </c>
      <c r="C156" s="27">
        <v>700</v>
      </c>
      <c r="D156" s="27"/>
      <c r="E156" s="27"/>
      <c r="F156" s="27" t="s">
        <v>13</v>
      </c>
      <c r="G156" s="27" t="s">
        <v>13</v>
      </c>
      <c r="H156" s="27" t="s">
        <v>13</v>
      </c>
      <c r="I156" s="27" t="s">
        <v>14</v>
      </c>
    </row>
    <row r="157" s="2" customFormat="1" ht="15" customHeight="1" spans="1:9">
      <c r="A157" s="27"/>
      <c r="B157" s="15" t="s">
        <v>145</v>
      </c>
      <c r="C157" s="27">
        <v>700</v>
      </c>
      <c r="D157" s="27"/>
      <c r="E157" s="27"/>
      <c r="F157" s="27"/>
      <c r="G157" s="27" t="s">
        <v>13</v>
      </c>
      <c r="H157" s="27" t="s">
        <v>13</v>
      </c>
      <c r="I157" s="27" t="s">
        <v>14</v>
      </c>
    </row>
    <row r="158" s="2" customFormat="1" ht="15.6" spans="1:9">
      <c r="A158" s="27"/>
      <c r="B158" s="15" t="s">
        <v>146</v>
      </c>
      <c r="C158" s="27">
        <v>800</v>
      </c>
      <c r="D158" s="27"/>
      <c r="E158" s="27"/>
      <c r="F158" s="27"/>
      <c r="G158" s="27" t="s">
        <v>13</v>
      </c>
      <c r="H158" s="27" t="s">
        <v>13</v>
      </c>
      <c r="I158" s="27" t="s">
        <v>14</v>
      </c>
    </row>
    <row r="159" s="2" customFormat="1" ht="15.6" spans="1:9">
      <c r="A159" s="27"/>
      <c r="B159" s="15" t="s">
        <v>147</v>
      </c>
      <c r="C159" s="27">
        <v>800</v>
      </c>
      <c r="D159" s="27"/>
      <c r="E159" s="27"/>
      <c r="F159" s="27"/>
      <c r="G159" s="27"/>
      <c r="H159" s="27" t="s">
        <v>13</v>
      </c>
      <c r="I159" s="27" t="s">
        <v>14</v>
      </c>
    </row>
    <row r="160" s="2" customFormat="1" ht="15.6" spans="1:9">
      <c r="A160" s="27"/>
      <c r="B160" s="15" t="s">
        <v>148</v>
      </c>
      <c r="C160" s="27">
        <v>800</v>
      </c>
      <c r="D160" s="27"/>
      <c r="E160" s="27"/>
      <c r="F160" s="27"/>
      <c r="G160" s="27"/>
      <c r="H160" s="27" t="s">
        <v>13</v>
      </c>
      <c r="I160" s="27" t="s">
        <v>14</v>
      </c>
    </row>
    <row r="161" s="2" customFormat="1" ht="15.6" spans="1:9">
      <c r="A161" s="36"/>
      <c r="B161" s="37" t="s">
        <v>140</v>
      </c>
      <c r="C161" s="38"/>
      <c r="D161" s="27">
        <f>SUMIF(D153:D160,"&lt;&gt;",C153:C160)</f>
        <v>1200</v>
      </c>
      <c r="E161" s="27">
        <f>SUMIF(E153:E160,"&lt;&gt;",C153:C160)</f>
        <v>1900</v>
      </c>
      <c r="F161" s="27">
        <f>SUMIF(F153:F160,"&lt;&gt;",C153:C160)</f>
        <v>2600</v>
      </c>
      <c r="G161" s="27">
        <f>SUMIF(G153:G160,"&lt;&gt;",C153:C160)</f>
        <v>4100</v>
      </c>
      <c r="H161" s="27">
        <f>SUMIF(H153:H160,"&lt;&gt;",C153:C160)</f>
        <v>5700</v>
      </c>
      <c r="I161" s="27"/>
    </row>
    <row r="162" s="2" customFormat="1" ht="15.6" spans="1:9">
      <c r="D162" s="39"/>
      <c r="E162" s="39"/>
      <c r="F162" s="39"/>
      <c r="G162" s="39"/>
      <c r="H162" s="2"/>
      <c r="I162" s="39"/>
    </row>
    <row r="163" s="2" customFormat="1" ht="31.2" spans="1:9">
      <c r="A163" s="29" t="s">
        <v>1</v>
      </c>
      <c r="B163" s="29" t="s">
        <v>2</v>
      </c>
      <c r="C163" s="29" t="s">
        <v>3</v>
      </c>
      <c r="D163" s="30" t="s">
        <v>4</v>
      </c>
      <c r="E163" s="30" t="s">
        <v>5</v>
      </c>
      <c r="F163" s="30" t="s">
        <v>6</v>
      </c>
      <c r="G163" s="30" t="s">
        <v>7</v>
      </c>
      <c r="H163" s="30" t="s">
        <v>8</v>
      </c>
      <c r="I163" s="30" t="s">
        <v>10</v>
      </c>
    </row>
    <row r="164" s="2" customFormat="1" ht="15.6" spans="1:9">
      <c r="A164" s="27" t="s">
        <v>149</v>
      </c>
      <c r="B164" s="15" t="s">
        <v>150</v>
      </c>
      <c r="C164" s="27">
        <v>600</v>
      </c>
      <c r="D164" s="27" t="s">
        <v>13</v>
      </c>
      <c r="E164" s="27" t="s">
        <v>13</v>
      </c>
      <c r="F164" s="27" t="s">
        <v>13</v>
      </c>
      <c r="G164" s="27" t="s">
        <v>13</v>
      </c>
      <c r="H164" s="27" t="s">
        <v>13</v>
      </c>
      <c r="I164" s="27" t="s">
        <v>113</v>
      </c>
    </row>
    <row r="165" s="2" customFormat="1" ht="15.6" spans="1:9">
      <c r="A165" s="27"/>
      <c r="B165" s="15" t="s">
        <v>151</v>
      </c>
      <c r="C165" s="27">
        <v>600</v>
      </c>
      <c r="D165" s="27" t="s">
        <v>13</v>
      </c>
      <c r="E165" s="27" t="s">
        <v>13</v>
      </c>
      <c r="F165" s="27" t="s">
        <v>13</v>
      </c>
      <c r="G165" s="27" t="s">
        <v>13</v>
      </c>
      <c r="H165" s="27" t="s">
        <v>13</v>
      </c>
      <c r="I165" s="27" t="s">
        <v>14</v>
      </c>
    </row>
    <row r="166" s="2" customFormat="1" ht="15.6" spans="1:9">
      <c r="A166" s="27"/>
      <c r="B166" s="15" t="s">
        <v>152</v>
      </c>
      <c r="C166" s="27">
        <v>700</v>
      </c>
      <c r="D166" s="27"/>
      <c r="E166" s="27" t="s">
        <v>13</v>
      </c>
      <c r="F166" s="27" t="s">
        <v>13</v>
      </c>
      <c r="G166" s="27" t="s">
        <v>13</v>
      </c>
      <c r="H166" s="27" t="s">
        <v>13</v>
      </c>
      <c r="I166" s="27" t="s">
        <v>14</v>
      </c>
    </row>
    <row r="167" s="2" customFormat="1" ht="15.6" spans="1:9">
      <c r="A167" s="27"/>
      <c r="B167" s="15" t="s">
        <v>153</v>
      </c>
      <c r="C167" s="27">
        <v>700</v>
      </c>
      <c r="D167" s="27"/>
      <c r="E167" s="27"/>
      <c r="F167" s="27" t="s">
        <v>13</v>
      </c>
      <c r="G167" s="27" t="s">
        <v>13</v>
      </c>
      <c r="H167" s="27" t="s">
        <v>13</v>
      </c>
      <c r="I167" s="27" t="s">
        <v>14</v>
      </c>
    </row>
    <row r="168" s="2" customFormat="1" ht="15.6" spans="1:9">
      <c r="A168" s="27"/>
      <c r="B168" s="15" t="s">
        <v>154</v>
      </c>
      <c r="C168" s="27">
        <v>700</v>
      </c>
      <c r="D168" s="27"/>
      <c r="E168" s="27"/>
      <c r="F168" s="27"/>
      <c r="G168" s="27" t="s">
        <v>13</v>
      </c>
      <c r="H168" s="27" t="s">
        <v>13</v>
      </c>
      <c r="I168" s="27" t="s">
        <v>14</v>
      </c>
    </row>
    <row r="169" s="2" customFormat="1" ht="15.6" spans="1:9">
      <c r="A169" s="27"/>
      <c r="B169" s="15" t="s">
        <v>155</v>
      </c>
      <c r="C169" s="27">
        <v>800</v>
      </c>
      <c r="D169" s="27"/>
      <c r="E169" s="27"/>
      <c r="F169" s="27"/>
      <c r="G169" s="27" t="s">
        <v>13</v>
      </c>
      <c r="H169" s="27" t="s">
        <v>13</v>
      </c>
      <c r="I169" s="27" t="s">
        <v>14</v>
      </c>
    </row>
    <row r="170" s="2" customFormat="1" ht="15.6" spans="1:9">
      <c r="A170" s="27"/>
      <c r="B170" s="15" t="s">
        <v>156</v>
      </c>
      <c r="C170" s="27">
        <v>800</v>
      </c>
      <c r="D170" s="27"/>
      <c r="E170" s="27"/>
      <c r="F170" s="27"/>
      <c r="G170" s="27"/>
      <c r="H170" s="27" t="s">
        <v>13</v>
      </c>
      <c r="I170" s="27" t="s">
        <v>14</v>
      </c>
    </row>
    <row r="171" s="2" customFormat="1" ht="15.6" spans="1:9">
      <c r="A171" s="27"/>
      <c r="B171" s="15" t="s">
        <v>157</v>
      </c>
      <c r="C171" s="27">
        <v>800</v>
      </c>
      <c r="D171" s="27"/>
      <c r="E171" s="27"/>
      <c r="F171" s="27"/>
      <c r="G171" s="27"/>
      <c r="H171" s="27" t="s">
        <v>13</v>
      </c>
      <c r="I171" s="27" t="s">
        <v>14</v>
      </c>
    </row>
    <row r="172" s="2" customFormat="1" ht="15.6" spans="1:9">
      <c r="A172" s="36"/>
      <c r="B172" s="37" t="s">
        <v>149</v>
      </c>
      <c r="C172" s="38"/>
      <c r="D172" s="27">
        <f>SUMIF(D164:D171,"&lt;&gt;",C164:C171)</f>
        <v>1200</v>
      </c>
      <c r="E172" s="27">
        <f>SUMIF(E164:E171,"&lt;&gt;",C164:C171)</f>
        <v>1900</v>
      </c>
      <c r="F172" s="27">
        <f>SUMIF(F164:F171,"&lt;&gt;",C164:C171)</f>
        <v>2600</v>
      </c>
      <c r="G172" s="27">
        <f>SUMIF(G164:G171,"&lt;&gt;",C164:C171)</f>
        <v>4100</v>
      </c>
      <c r="H172" s="27">
        <f>SUMIF(H164:H171,"&lt;&gt;",C164:C171)</f>
        <v>5700</v>
      </c>
      <c r="I172" s="27"/>
    </row>
    <row r="173" s="2" customFormat="1" ht="18.6" customHeight="1" spans="1:9">
      <c r="D173" s="46"/>
      <c r="E173" s="46"/>
      <c r="F173" s="46"/>
      <c r="G173" s="46"/>
      <c r="H173" s="46"/>
    </row>
    <row r="174" s="2" customFormat="1" ht="31.2" spans="1:9">
      <c r="A174" s="29" t="s">
        <v>1</v>
      </c>
      <c r="B174" s="29" t="s">
        <v>2</v>
      </c>
      <c r="C174" s="29" t="s">
        <v>3</v>
      </c>
      <c r="D174" s="30" t="s">
        <v>4</v>
      </c>
      <c r="E174" s="30" t="s">
        <v>5</v>
      </c>
      <c r="F174" s="30" t="s">
        <v>6</v>
      </c>
      <c r="G174" s="30" t="s">
        <v>7</v>
      </c>
      <c r="H174" s="30" t="s">
        <v>8</v>
      </c>
      <c r="I174" s="30" t="s">
        <v>10</v>
      </c>
    </row>
    <row r="175" s="2" customFormat="1" ht="15.6" spans="1:9">
      <c r="A175" s="27" t="s">
        <v>158</v>
      </c>
      <c r="B175" s="15" t="s">
        <v>159</v>
      </c>
      <c r="C175" s="27">
        <v>600</v>
      </c>
      <c r="D175" s="27" t="s">
        <v>13</v>
      </c>
      <c r="E175" s="27" t="s">
        <v>13</v>
      </c>
      <c r="F175" s="27" t="s">
        <v>13</v>
      </c>
      <c r="G175" s="27" t="s">
        <v>13</v>
      </c>
      <c r="H175" s="27"/>
      <c r="I175" s="27" t="s">
        <v>14</v>
      </c>
    </row>
    <row r="176" s="2" customFormat="1" ht="15.6" spans="1:9">
      <c r="A176" s="27"/>
      <c r="B176" s="15" t="s">
        <v>160</v>
      </c>
      <c r="C176" s="27">
        <v>600</v>
      </c>
      <c r="D176" s="27" t="s">
        <v>13</v>
      </c>
      <c r="E176" s="27" t="s">
        <v>13</v>
      </c>
      <c r="F176" s="27" t="s">
        <v>13</v>
      </c>
      <c r="G176" s="27" t="s">
        <v>13</v>
      </c>
      <c r="H176" s="27"/>
      <c r="I176" s="27" t="s">
        <v>14</v>
      </c>
    </row>
    <row r="177" s="2" customFormat="1" ht="15.6" spans="1:19">
      <c r="A177" s="27"/>
      <c r="B177" s="15" t="s">
        <v>161</v>
      </c>
      <c r="C177" s="27">
        <v>700</v>
      </c>
      <c r="D177" s="27"/>
      <c r="E177" s="27" t="s">
        <v>13</v>
      </c>
      <c r="F177" s="27" t="s">
        <v>13</v>
      </c>
      <c r="G177" s="27" t="s">
        <v>13</v>
      </c>
      <c r="H177" s="27"/>
      <c r="I177" s="27" t="s">
        <v>14</v>
      </c>
    </row>
    <row r="178" s="2" customFormat="1" ht="15.6" spans="1:19">
      <c r="A178" s="27"/>
      <c r="B178" s="15" t="s">
        <v>162</v>
      </c>
      <c r="C178" s="27">
        <v>700</v>
      </c>
      <c r="D178" s="27"/>
      <c r="E178" s="27"/>
      <c r="F178" s="27" t="s">
        <v>13</v>
      </c>
      <c r="G178" s="27" t="s">
        <v>13</v>
      </c>
      <c r="H178" s="27"/>
      <c r="I178" s="27" t="s">
        <v>14</v>
      </c>
    </row>
    <row r="179" s="2" customFormat="1" ht="15.6" spans="1:19">
      <c r="A179" s="27"/>
      <c r="B179" s="15" t="s">
        <v>163</v>
      </c>
      <c r="C179" s="27">
        <v>700</v>
      </c>
      <c r="D179" s="27"/>
      <c r="E179" s="27"/>
      <c r="F179" s="27"/>
      <c r="G179" s="27" t="s">
        <v>13</v>
      </c>
      <c r="H179" s="27"/>
      <c r="I179" s="27" t="s">
        <v>14</v>
      </c>
    </row>
    <row r="180" s="2" customFormat="1" ht="15.6" spans="1:19">
      <c r="A180" s="27"/>
      <c r="B180" s="15" t="s">
        <v>164</v>
      </c>
      <c r="C180" s="27">
        <v>800</v>
      </c>
      <c r="D180" s="27"/>
      <c r="E180" s="27"/>
      <c r="F180" s="27"/>
      <c r="G180" s="27" t="s">
        <v>13</v>
      </c>
      <c r="H180" s="27"/>
      <c r="I180" s="27" t="s">
        <v>14</v>
      </c>
    </row>
    <row r="181" s="2" customFormat="1" ht="15.6" spans="1:19">
      <c r="A181" s="36"/>
      <c r="B181" s="37" t="str">
        <f>A175</f>
        <v>EHS</v>
      </c>
      <c r="C181" s="38"/>
      <c r="D181" s="38">
        <f t="shared" ref="D181:H181" si="5">SUMIF(D175:D180,"&lt;&gt;",$C$66:$C$71)</f>
        <v>350</v>
      </c>
      <c r="E181" s="38">
        <f t="shared" si="5"/>
        <v>550</v>
      </c>
      <c r="F181" s="27">
        <f t="shared" si="5"/>
        <v>850</v>
      </c>
      <c r="G181" s="27">
        <f t="shared" si="5"/>
        <v>850</v>
      </c>
      <c r="H181" s="27">
        <f t="shared" si="5"/>
        <v>0</v>
      </c>
      <c r="I181" s="27"/>
    </row>
    <row r="183" spans="1:19">
      <c r="A183" t="s">
        <v>165</v>
      </c>
    </row>
    <row r="184" s="1" customFormat="1" ht="31.2" spans="1:19">
      <c r="A184" s="29" t="s">
        <v>1</v>
      </c>
      <c r="B184" s="29" t="s">
        <v>2</v>
      </c>
      <c r="C184" s="29" t="s">
        <v>3</v>
      </c>
      <c r="D184" s="30" t="s">
        <v>4</v>
      </c>
      <c r="E184" s="30" t="s">
        <v>5</v>
      </c>
      <c r="F184" s="30" t="s">
        <v>6</v>
      </c>
      <c r="G184" s="30" t="s">
        <v>7</v>
      </c>
      <c r="H184" s="30" t="s">
        <v>8</v>
      </c>
      <c r="I184" s="30" t="s">
        <v>9</v>
      </c>
      <c r="J184" s="30" t="s">
        <v>10</v>
      </c>
      <c r="L184" s="31"/>
      <c r="M184" s="31"/>
      <c r="N184" s="31"/>
      <c r="O184" s="31"/>
      <c r="P184" s="31"/>
      <c r="Q184" s="31"/>
      <c r="R184" s="31"/>
      <c r="S184" s="31"/>
    </row>
    <row r="185" s="1" customFormat="1" ht="15" spans="1:19">
      <c r="A185" s="27" t="s">
        <v>64</v>
      </c>
      <c r="B185" s="15" t="s">
        <v>166</v>
      </c>
      <c r="C185" s="27">
        <v>600</v>
      </c>
      <c r="D185" s="27" t="s">
        <v>13</v>
      </c>
      <c r="E185" s="27" t="s">
        <v>13</v>
      </c>
      <c r="F185" s="27" t="s">
        <v>13</v>
      </c>
      <c r="G185" s="27" t="s">
        <v>13</v>
      </c>
      <c r="H185" s="27" t="s">
        <v>13</v>
      </c>
      <c r="I185" s="27" t="s">
        <v>13</v>
      </c>
      <c r="J185" s="27" t="s">
        <v>14</v>
      </c>
      <c r="L185" s="31"/>
      <c r="M185" s="31"/>
      <c r="N185" s="31"/>
      <c r="O185" s="31"/>
      <c r="P185" s="31"/>
      <c r="Q185" s="31"/>
      <c r="R185" s="31"/>
      <c r="S185" s="31"/>
    </row>
    <row r="186" s="1" customFormat="1" ht="15" spans="1:19">
      <c r="A186" s="27"/>
      <c r="B186" s="15" t="s">
        <v>167</v>
      </c>
      <c r="C186" s="27">
        <v>600</v>
      </c>
      <c r="D186" s="27" t="s">
        <v>13</v>
      </c>
      <c r="E186" s="27" t="s">
        <v>13</v>
      </c>
      <c r="F186" s="27" t="s">
        <v>13</v>
      </c>
      <c r="G186" s="27" t="s">
        <v>13</v>
      </c>
      <c r="H186" s="27" t="s">
        <v>13</v>
      </c>
      <c r="I186" s="27" t="s">
        <v>13</v>
      </c>
      <c r="J186" s="27" t="s">
        <v>14</v>
      </c>
      <c r="L186" s="31"/>
      <c r="M186" s="31"/>
      <c r="N186" s="31"/>
      <c r="O186" s="31"/>
      <c r="P186" s="31"/>
      <c r="Q186" s="31"/>
      <c r="R186" s="31"/>
      <c r="S186" s="31"/>
    </row>
    <row r="187" s="1" customFormat="1" ht="15" spans="1:19">
      <c r="A187" s="27"/>
      <c r="B187" s="15" t="s">
        <v>168</v>
      </c>
      <c r="C187" s="27">
        <v>700</v>
      </c>
      <c r="D187" s="27"/>
      <c r="E187" s="27" t="s">
        <v>13</v>
      </c>
      <c r="F187" s="27" t="s">
        <v>13</v>
      </c>
      <c r="G187" s="27" t="s">
        <v>13</v>
      </c>
      <c r="H187" s="27" t="s">
        <v>13</v>
      </c>
      <c r="I187" s="27" t="s">
        <v>13</v>
      </c>
      <c r="J187" s="27" t="s">
        <v>14</v>
      </c>
      <c r="L187" s="31"/>
      <c r="M187" s="31"/>
      <c r="N187" s="31"/>
      <c r="O187" s="31"/>
      <c r="P187" s="31"/>
      <c r="Q187" s="31"/>
      <c r="R187" s="31"/>
      <c r="S187" s="31"/>
    </row>
    <row r="188" s="1" customFormat="1" ht="15" spans="1:19">
      <c r="A188" s="27"/>
      <c r="B188" s="15" t="s">
        <v>169</v>
      </c>
      <c r="C188" s="27">
        <v>700</v>
      </c>
      <c r="D188" s="27"/>
      <c r="E188" s="27"/>
      <c r="F188" s="27" t="s">
        <v>13</v>
      </c>
      <c r="G188" s="27" t="s">
        <v>13</v>
      </c>
      <c r="H188" s="27" t="s">
        <v>13</v>
      </c>
      <c r="I188" s="27" t="s">
        <v>13</v>
      </c>
      <c r="J188" s="27" t="s">
        <v>14</v>
      </c>
      <c r="L188" s="31"/>
      <c r="M188" s="31"/>
      <c r="N188" s="31"/>
      <c r="O188" s="31"/>
      <c r="P188" s="31"/>
      <c r="Q188" s="31"/>
      <c r="R188" s="31"/>
      <c r="S188" s="31"/>
    </row>
    <row r="189" s="1" customFormat="1" ht="15" spans="1:19">
      <c r="A189" s="27"/>
      <c r="B189" s="15" t="s">
        <v>170</v>
      </c>
      <c r="C189" s="27">
        <v>700</v>
      </c>
      <c r="D189" s="27"/>
      <c r="E189" s="27"/>
      <c r="F189" s="27"/>
      <c r="G189" s="27" t="s">
        <v>13</v>
      </c>
      <c r="H189" s="27" t="s">
        <v>13</v>
      </c>
      <c r="I189" s="27" t="s">
        <v>13</v>
      </c>
      <c r="J189" s="27" t="s">
        <v>14</v>
      </c>
      <c r="L189" s="31"/>
      <c r="M189" s="31"/>
      <c r="N189" s="31"/>
      <c r="O189" s="31"/>
      <c r="P189" s="31"/>
      <c r="Q189" s="31"/>
      <c r="R189" s="31"/>
      <c r="S189" s="31"/>
    </row>
    <row r="190" s="1" customFormat="1" ht="15" spans="1:19">
      <c r="A190" s="27"/>
      <c r="B190" s="15" t="s">
        <v>171</v>
      </c>
      <c r="C190" s="27">
        <v>800</v>
      </c>
      <c r="D190" s="27"/>
      <c r="E190" s="27"/>
      <c r="F190" s="27"/>
      <c r="G190" s="27" t="s">
        <v>13</v>
      </c>
      <c r="H190" s="27" t="s">
        <v>13</v>
      </c>
      <c r="I190" s="27" t="s">
        <v>13</v>
      </c>
      <c r="J190" s="27" t="s">
        <v>14</v>
      </c>
      <c r="L190" s="31"/>
      <c r="M190" s="31"/>
      <c r="N190" s="31"/>
      <c r="O190" s="31"/>
      <c r="P190" s="31"/>
      <c r="Q190" s="31"/>
      <c r="R190" s="31"/>
      <c r="S190" s="31"/>
    </row>
    <row r="191" s="1" customFormat="1" ht="15" spans="1:19">
      <c r="A191" s="27"/>
      <c r="B191" s="47" t="s">
        <v>172</v>
      </c>
      <c r="C191" s="27">
        <v>800</v>
      </c>
      <c r="D191" s="27"/>
      <c r="E191" s="27"/>
      <c r="F191" s="27"/>
      <c r="G191" s="27"/>
      <c r="H191" s="27" t="s">
        <v>13</v>
      </c>
      <c r="I191" s="27" t="s">
        <v>13</v>
      </c>
      <c r="J191" s="27" t="s">
        <v>14</v>
      </c>
      <c r="L191" s="31"/>
      <c r="M191" s="31"/>
      <c r="N191" s="31"/>
      <c r="O191" s="31"/>
      <c r="P191" s="31"/>
      <c r="Q191" s="31"/>
      <c r="R191" s="31"/>
      <c r="S191" s="31"/>
    </row>
    <row r="192" s="1" customFormat="1" ht="15" spans="1:19">
      <c r="A192" s="27"/>
      <c r="B192" s="15" t="s">
        <v>173</v>
      </c>
      <c r="C192" s="27">
        <v>800</v>
      </c>
      <c r="D192" s="27"/>
      <c r="E192" s="27"/>
      <c r="F192" s="27"/>
      <c r="G192" s="27"/>
      <c r="H192" s="27" t="s">
        <v>13</v>
      </c>
      <c r="I192" s="27" t="s">
        <v>13</v>
      </c>
      <c r="J192" s="27" t="s">
        <v>14</v>
      </c>
      <c r="L192" s="31"/>
      <c r="M192" s="31"/>
      <c r="N192" s="31"/>
      <c r="O192" s="31"/>
      <c r="P192" s="31"/>
      <c r="Q192" s="31"/>
      <c r="R192" s="31"/>
      <c r="S192" s="31"/>
    </row>
    <row r="193" s="1" customFormat="1" ht="15" spans="1:19">
      <c r="A193" s="27"/>
      <c r="B193" s="15" t="s">
        <v>174</v>
      </c>
      <c r="C193" s="27">
        <v>1500</v>
      </c>
      <c r="D193" s="27"/>
      <c r="E193" s="27"/>
      <c r="F193" s="27"/>
      <c r="G193" s="27"/>
      <c r="H193" s="27"/>
      <c r="I193" s="27" t="s">
        <v>13</v>
      </c>
      <c r="J193" s="27" t="s">
        <v>14</v>
      </c>
      <c r="L193" s="31"/>
      <c r="M193" s="31"/>
      <c r="N193" s="31"/>
      <c r="O193" s="31"/>
      <c r="P193" s="31"/>
      <c r="Q193" s="31"/>
      <c r="R193" s="31"/>
      <c r="S193" s="31"/>
    </row>
    <row r="194" s="1" customFormat="1" ht="15" spans="1:19">
      <c r="A194" s="27"/>
      <c r="B194" s="15" t="s">
        <v>175</v>
      </c>
      <c r="C194" s="27">
        <v>1500</v>
      </c>
      <c r="D194" s="27"/>
      <c r="E194" s="27"/>
      <c r="F194" s="27"/>
      <c r="G194" s="27"/>
      <c r="H194" s="27"/>
      <c r="I194" s="27" t="s">
        <v>13</v>
      </c>
      <c r="J194" s="27" t="s">
        <v>14</v>
      </c>
      <c r="L194" s="31"/>
      <c r="M194" s="31"/>
      <c r="N194" s="31"/>
      <c r="O194" s="31"/>
      <c r="P194" s="31"/>
      <c r="Q194" s="31"/>
      <c r="R194" s="31"/>
      <c r="S194" s="31"/>
    </row>
    <row r="195" s="1" customFormat="1" ht="15" spans="1:19">
      <c r="A195" s="36"/>
      <c r="B195" s="37" t="s">
        <v>64</v>
      </c>
      <c r="C195" s="38"/>
      <c r="D195" s="27">
        <f>SUMIF(D185:D194,"&lt;&gt;",C185:C194)</f>
        <v>1200</v>
      </c>
      <c r="E195" s="27">
        <f>SUMIF(E185:E194,"&lt;&gt;",C185:C194)</f>
        <v>1900</v>
      </c>
      <c r="F195" s="27">
        <f>SUMIF(F185:F194,"&lt;&gt;",C185:C194)</f>
        <v>2600</v>
      </c>
      <c r="G195" s="27">
        <f>SUMIF(G185:G194,"&lt;&gt;",C185:C194)</f>
        <v>4100</v>
      </c>
      <c r="H195" s="27">
        <f>SUMIF(H185:H194,"&lt;&gt;",C185:C194)</f>
        <v>5700</v>
      </c>
      <c r="I195" s="27">
        <f>SUMIF(I185:I194,"&lt;&gt;",C185:C194)</f>
        <v>8700</v>
      </c>
      <c r="J195" s="27"/>
      <c r="L195" s="31"/>
      <c r="M195" s="31"/>
      <c r="N195" s="31"/>
      <c r="O195" s="31"/>
      <c r="P195" s="31"/>
      <c r="Q195" s="31"/>
      <c r="R195" s="31"/>
      <c r="S195" s="31"/>
    </row>
    <row r="196" s="1" customFormat="1" ht="15.6" spans="1:19">
      <c r="A196" s="2"/>
      <c r="B196" s="2"/>
      <c r="C196" s="2"/>
      <c r="D196" s="39"/>
      <c r="E196" s="39"/>
      <c r="F196" s="39"/>
      <c r="G196" s="39"/>
      <c r="H196" s="39"/>
      <c r="I196" s="39"/>
      <c r="J196" s="39"/>
      <c r="L196" s="31"/>
      <c r="M196" s="31"/>
      <c r="N196" s="31"/>
      <c r="O196" s="31"/>
      <c r="P196" s="31"/>
      <c r="Q196" s="31"/>
      <c r="R196" s="31"/>
      <c r="S196" s="31"/>
    </row>
    <row r="197" s="1" customFormat="1" ht="31.2" spans="1:19">
      <c r="A197" s="29" t="s">
        <v>1</v>
      </c>
      <c r="B197" s="29" t="s">
        <v>2</v>
      </c>
      <c r="C197" s="29" t="s">
        <v>3</v>
      </c>
      <c r="D197" s="30" t="s">
        <v>4</v>
      </c>
      <c r="E197" s="30" t="s">
        <v>5</v>
      </c>
      <c r="F197" s="30" t="s">
        <v>6</v>
      </c>
      <c r="G197" s="30" t="s">
        <v>7</v>
      </c>
      <c r="H197" s="30" t="s">
        <v>8</v>
      </c>
      <c r="I197" s="30" t="s">
        <v>9</v>
      </c>
      <c r="J197" s="30" t="s">
        <v>10</v>
      </c>
      <c r="L197" s="31"/>
      <c r="M197" s="31"/>
      <c r="N197" s="31"/>
      <c r="O197" s="31"/>
      <c r="P197" s="31"/>
      <c r="Q197" s="31"/>
      <c r="R197" s="31"/>
      <c r="S197" s="31"/>
    </row>
    <row r="198" s="1" customFormat="1" ht="15" spans="1:19">
      <c r="A198" s="27" t="s">
        <v>176</v>
      </c>
      <c r="B198" s="15" t="s">
        <v>177</v>
      </c>
      <c r="C198" s="27">
        <v>600</v>
      </c>
      <c r="D198" s="27" t="s">
        <v>13</v>
      </c>
      <c r="E198" s="27" t="s">
        <v>13</v>
      </c>
      <c r="F198" s="27" t="s">
        <v>13</v>
      </c>
      <c r="G198" s="27" t="s">
        <v>13</v>
      </c>
      <c r="H198" s="27" t="s">
        <v>13</v>
      </c>
      <c r="I198" s="27" t="s">
        <v>13</v>
      </c>
      <c r="J198" s="27" t="s">
        <v>14</v>
      </c>
      <c r="L198" s="31"/>
      <c r="M198" s="31"/>
      <c r="N198" s="31"/>
      <c r="O198" s="31"/>
      <c r="P198" s="31"/>
      <c r="Q198" s="31"/>
      <c r="R198" s="31"/>
      <c r="S198" s="31"/>
    </row>
    <row r="199" s="1" customFormat="1" ht="15" spans="1:19">
      <c r="A199" s="27"/>
      <c r="B199" s="15" t="s">
        <v>178</v>
      </c>
      <c r="C199" s="27">
        <v>600</v>
      </c>
      <c r="D199" s="27" t="s">
        <v>13</v>
      </c>
      <c r="E199" s="27" t="s">
        <v>13</v>
      </c>
      <c r="F199" s="27" t="s">
        <v>13</v>
      </c>
      <c r="G199" s="27" t="s">
        <v>13</v>
      </c>
      <c r="H199" s="27" t="s">
        <v>13</v>
      </c>
      <c r="I199" s="27" t="s">
        <v>13</v>
      </c>
      <c r="J199" s="27" t="s">
        <v>14</v>
      </c>
      <c r="L199" s="31"/>
      <c r="M199" s="31"/>
      <c r="N199" s="31"/>
      <c r="O199" s="31"/>
      <c r="P199" s="31"/>
      <c r="Q199" s="31"/>
      <c r="R199" s="31"/>
      <c r="S199" s="31"/>
    </row>
    <row r="200" s="1" customFormat="1" ht="15" spans="1:19">
      <c r="A200" s="27"/>
      <c r="B200" s="15" t="s">
        <v>179</v>
      </c>
      <c r="C200" s="27">
        <v>700</v>
      </c>
      <c r="D200" s="27"/>
      <c r="E200" s="27" t="s">
        <v>13</v>
      </c>
      <c r="F200" s="27" t="s">
        <v>13</v>
      </c>
      <c r="G200" s="27" t="s">
        <v>13</v>
      </c>
      <c r="H200" s="27" t="s">
        <v>13</v>
      </c>
      <c r="I200" s="27" t="s">
        <v>13</v>
      </c>
      <c r="J200" s="27" t="s">
        <v>14</v>
      </c>
      <c r="L200" s="31"/>
      <c r="M200" s="31"/>
      <c r="N200" s="31"/>
      <c r="O200" s="31"/>
      <c r="P200" s="31"/>
      <c r="Q200" s="31"/>
      <c r="R200" s="31"/>
      <c r="S200" s="31"/>
    </row>
    <row r="201" s="1" customFormat="1" ht="15" spans="1:19">
      <c r="A201" s="27"/>
      <c r="B201" s="15" t="s">
        <v>180</v>
      </c>
      <c r="C201" s="27">
        <v>700</v>
      </c>
      <c r="D201" s="27"/>
      <c r="E201" s="27"/>
      <c r="F201" s="27" t="s">
        <v>13</v>
      </c>
      <c r="G201" s="27" t="s">
        <v>13</v>
      </c>
      <c r="H201" s="27" t="s">
        <v>13</v>
      </c>
      <c r="I201" s="27" t="s">
        <v>13</v>
      </c>
      <c r="J201" s="27" t="s">
        <v>14</v>
      </c>
      <c r="L201" s="31"/>
      <c r="M201" s="31"/>
      <c r="N201" s="31"/>
      <c r="O201" s="31"/>
      <c r="P201" s="31"/>
      <c r="Q201" s="31"/>
      <c r="R201" s="31"/>
      <c r="S201" s="31"/>
    </row>
    <row r="202" s="1" customFormat="1" ht="15" spans="1:19">
      <c r="A202" s="27"/>
      <c r="B202" s="15" t="s">
        <v>181</v>
      </c>
      <c r="C202" s="27">
        <v>700</v>
      </c>
      <c r="D202" s="27"/>
      <c r="E202" s="27"/>
      <c r="F202" s="27"/>
      <c r="G202" s="27" t="s">
        <v>13</v>
      </c>
      <c r="H202" s="27" t="s">
        <v>13</v>
      </c>
      <c r="I202" s="27" t="s">
        <v>13</v>
      </c>
      <c r="J202" s="27" t="s">
        <v>14</v>
      </c>
      <c r="L202" s="31"/>
      <c r="M202" s="31"/>
      <c r="N202" s="31"/>
      <c r="O202" s="31"/>
      <c r="P202" s="31"/>
      <c r="Q202" s="31"/>
      <c r="R202" s="31"/>
      <c r="S202" s="31"/>
    </row>
    <row r="203" s="1" customFormat="1" ht="15" spans="1:19">
      <c r="A203" s="27"/>
      <c r="B203" s="15" t="s">
        <v>182</v>
      </c>
      <c r="C203" s="27">
        <v>800</v>
      </c>
      <c r="D203" s="27"/>
      <c r="E203" s="27"/>
      <c r="F203" s="27"/>
      <c r="G203" s="27" t="s">
        <v>13</v>
      </c>
      <c r="H203" s="27" t="s">
        <v>13</v>
      </c>
      <c r="I203" s="27" t="s">
        <v>13</v>
      </c>
      <c r="J203" s="27" t="s">
        <v>14</v>
      </c>
      <c r="L203" s="31"/>
      <c r="M203" s="31"/>
      <c r="N203" s="31"/>
      <c r="O203" s="31"/>
      <c r="P203" s="31"/>
      <c r="Q203" s="31"/>
      <c r="R203" s="31"/>
      <c r="S203" s="31"/>
    </row>
    <row r="204" s="1" customFormat="1" ht="15" spans="1:19">
      <c r="A204" s="27"/>
      <c r="B204" s="15" t="s">
        <v>183</v>
      </c>
      <c r="C204" s="27">
        <v>800</v>
      </c>
      <c r="D204" s="27"/>
      <c r="E204" s="27"/>
      <c r="F204" s="27"/>
      <c r="G204" s="27"/>
      <c r="H204" s="27" t="s">
        <v>13</v>
      </c>
      <c r="I204" s="27" t="s">
        <v>13</v>
      </c>
      <c r="J204" s="27" t="s">
        <v>14</v>
      </c>
      <c r="L204" s="31"/>
      <c r="M204" s="31"/>
      <c r="N204" s="31"/>
      <c r="O204" s="31"/>
      <c r="P204" s="31"/>
      <c r="Q204" s="31"/>
      <c r="R204" s="31"/>
      <c r="S204" s="31"/>
    </row>
    <row r="205" s="1" customFormat="1" ht="15" spans="1:19">
      <c r="A205" s="27"/>
      <c r="B205" s="15" t="s">
        <v>184</v>
      </c>
      <c r="C205" s="27">
        <v>800</v>
      </c>
      <c r="D205" s="27"/>
      <c r="E205" s="27"/>
      <c r="F205" s="27"/>
      <c r="G205" s="27"/>
      <c r="H205" s="27" t="s">
        <v>13</v>
      </c>
      <c r="I205" s="27" t="s">
        <v>13</v>
      </c>
      <c r="J205" s="27" t="s">
        <v>14</v>
      </c>
      <c r="L205" s="31"/>
      <c r="M205" s="31"/>
      <c r="N205" s="31"/>
      <c r="O205" s="31"/>
      <c r="P205" s="31"/>
      <c r="Q205" s="31"/>
      <c r="R205" s="31"/>
      <c r="S205" s="31"/>
    </row>
    <row r="206" s="1" customFormat="1" ht="15" spans="1:19">
      <c r="A206" s="27"/>
      <c r="B206" s="15" t="s">
        <v>185</v>
      </c>
      <c r="C206" s="27">
        <v>1500</v>
      </c>
      <c r="D206" s="27"/>
      <c r="E206" s="27"/>
      <c r="F206" s="27"/>
      <c r="G206" s="27"/>
      <c r="H206" s="27"/>
      <c r="I206" s="27" t="s">
        <v>13</v>
      </c>
      <c r="J206" s="27" t="s">
        <v>14</v>
      </c>
      <c r="L206" s="31"/>
      <c r="M206" s="31"/>
      <c r="N206" s="31"/>
      <c r="O206" s="31"/>
      <c r="P206" s="31"/>
      <c r="Q206" s="31"/>
      <c r="R206" s="31"/>
      <c r="S206" s="31"/>
    </row>
    <row r="207" s="1" customFormat="1" ht="15" spans="1:19">
      <c r="A207" s="27"/>
      <c r="B207" s="15" t="s">
        <v>186</v>
      </c>
      <c r="C207" s="27">
        <v>1500</v>
      </c>
      <c r="D207" s="27"/>
      <c r="E207" s="27"/>
      <c r="F207" s="27"/>
      <c r="G207" s="27"/>
      <c r="H207" s="27"/>
      <c r="I207" s="27" t="s">
        <v>13</v>
      </c>
      <c r="J207" s="27" t="s">
        <v>14</v>
      </c>
      <c r="L207" s="31"/>
      <c r="M207" s="31"/>
      <c r="N207" s="31"/>
      <c r="O207" s="31"/>
      <c r="P207" s="31"/>
      <c r="Q207" s="31"/>
      <c r="R207" s="31"/>
      <c r="S207" s="31"/>
    </row>
    <row r="208" s="1" customFormat="1" ht="15" spans="1:19">
      <c r="A208" s="36"/>
      <c r="B208" s="37" t="s">
        <v>176</v>
      </c>
      <c r="C208" s="38"/>
      <c r="D208" s="27">
        <f>SUMIF(D198:D207,"&lt;&gt;",C198:C207)</f>
        <v>1200</v>
      </c>
      <c r="E208" s="27">
        <f>SUMIF(E198:E207,"&lt;&gt;",C198:C207)</f>
        <v>1900</v>
      </c>
      <c r="F208" s="27">
        <f>SUMIF(F198:F207,"&lt;&gt;",C198:C207)</f>
        <v>2600</v>
      </c>
      <c r="G208" s="27">
        <f>SUMIF(G198:G207,"&lt;&gt;",C198:C207)</f>
        <v>4100</v>
      </c>
      <c r="H208" s="27">
        <f>SUMIF(H198:H207,"&lt;&gt;",C198:C207)</f>
        <v>5700</v>
      </c>
      <c r="I208" s="27">
        <f>SUMIF(I198:I207,"&lt;&gt;",C198:C207)</f>
        <v>8700</v>
      </c>
      <c r="J208" s="27"/>
      <c r="L208" s="31"/>
      <c r="M208" s="31"/>
      <c r="N208" s="31"/>
      <c r="O208" s="31"/>
      <c r="P208" s="31"/>
      <c r="Q208" s="31"/>
      <c r="R208" s="31"/>
      <c r="S208" s="31"/>
    </row>
    <row r="209" s="1" customFormat="1" ht="15.6" spans="1:19">
      <c r="A209" s="2"/>
      <c r="B209" s="2"/>
      <c r="C209" s="2"/>
      <c r="D209" s="39"/>
      <c r="E209" s="39"/>
      <c r="F209" s="39"/>
      <c r="G209" s="39"/>
      <c r="H209" s="39"/>
      <c r="I209" s="39"/>
      <c r="J209" s="39"/>
      <c r="L209" s="31"/>
      <c r="M209" s="31"/>
      <c r="N209" s="31"/>
      <c r="O209" s="31"/>
      <c r="P209" s="31"/>
      <c r="Q209" s="31"/>
      <c r="R209" s="31"/>
      <c r="S209" s="31"/>
    </row>
    <row r="210" s="1" customFormat="1" ht="31.2" spans="1:19">
      <c r="A210" s="29" t="s">
        <v>1</v>
      </c>
      <c r="B210" s="29" t="s">
        <v>2</v>
      </c>
      <c r="C210" s="29" t="s">
        <v>3</v>
      </c>
      <c r="D210" s="30" t="s">
        <v>4</v>
      </c>
      <c r="E210" s="30" t="s">
        <v>5</v>
      </c>
      <c r="F210" s="30" t="s">
        <v>6</v>
      </c>
      <c r="G210" s="30" t="s">
        <v>7</v>
      </c>
      <c r="H210" s="30" t="s">
        <v>8</v>
      </c>
      <c r="I210" s="30" t="s">
        <v>9</v>
      </c>
      <c r="J210" s="30" t="s">
        <v>10</v>
      </c>
      <c r="L210" s="31"/>
      <c r="M210" s="31"/>
      <c r="N210" s="31"/>
      <c r="O210" s="31"/>
      <c r="P210" s="31"/>
      <c r="Q210" s="31"/>
      <c r="R210" s="31"/>
      <c r="S210" s="31"/>
    </row>
    <row r="211" s="1" customFormat="1" ht="15" spans="1:19">
      <c r="A211" s="27" t="s">
        <v>187</v>
      </c>
      <c r="B211" s="33" t="s">
        <v>188</v>
      </c>
      <c r="C211" s="27">
        <v>600</v>
      </c>
      <c r="D211" s="27" t="s">
        <v>13</v>
      </c>
      <c r="E211" s="27" t="s">
        <v>13</v>
      </c>
      <c r="F211" s="27" t="s">
        <v>13</v>
      </c>
      <c r="G211" s="27" t="s">
        <v>13</v>
      </c>
      <c r="H211" s="27" t="s">
        <v>13</v>
      </c>
      <c r="I211" s="27" t="s">
        <v>13</v>
      </c>
      <c r="J211" s="27" t="s">
        <v>14</v>
      </c>
      <c r="L211" s="31"/>
      <c r="M211" s="31"/>
      <c r="N211" s="31"/>
      <c r="O211" s="31"/>
      <c r="P211" s="31"/>
      <c r="Q211" s="31"/>
      <c r="R211" s="31"/>
      <c r="S211" s="31"/>
    </row>
    <row r="212" s="1" customFormat="1" ht="15" spans="1:19">
      <c r="A212" s="27"/>
      <c r="B212" s="33" t="s">
        <v>189</v>
      </c>
      <c r="C212" s="27">
        <v>600</v>
      </c>
      <c r="D212" s="27" t="s">
        <v>13</v>
      </c>
      <c r="E212" s="27" t="s">
        <v>13</v>
      </c>
      <c r="F212" s="27" t="s">
        <v>13</v>
      </c>
      <c r="G212" s="27" t="s">
        <v>13</v>
      </c>
      <c r="H212" s="27" t="s">
        <v>13</v>
      </c>
      <c r="I212" s="27" t="s">
        <v>13</v>
      </c>
      <c r="J212" s="27" t="s">
        <v>14</v>
      </c>
      <c r="L212" s="31"/>
      <c r="M212" s="31"/>
      <c r="N212" s="31"/>
      <c r="O212" s="31"/>
      <c r="P212" s="31"/>
      <c r="Q212" s="31"/>
      <c r="R212" s="31"/>
      <c r="S212" s="31"/>
    </row>
    <row r="213" s="1" customFormat="1" ht="15" spans="1:19">
      <c r="A213" s="27"/>
      <c r="B213" s="33" t="s">
        <v>190</v>
      </c>
      <c r="C213" s="27">
        <v>700</v>
      </c>
      <c r="D213" s="27"/>
      <c r="E213" s="27" t="s">
        <v>13</v>
      </c>
      <c r="F213" s="27" t="s">
        <v>13</v>
      </c>
      <c r="G213" s="27" t="s">
        <v>13</v>
      </c>
      <c r="H213" s="27" t="s">
        <v>13</v>
      </c>
      <c r="I213" s="27" t="s">
        <v>13</v>
      </c>
      <c r="J213" s="27" t="s">
        <v>14</v>
      </c>
      <c r="L213" s="31"/>
      <c r="M213" s="31"/>
      <c r="N213" s="31"/>
      <c r="O213" s="31"/>
      <c r="P213" s="31"/>
      <c r="Q213" s="31"/>
      <c r="R213" s="31"/>
      <c r="S213" s="31"/>
    </row>
    <row r="214" s="1" customFormat="1" ht="15" spans="1:19">
      <c r="A214" s="27"/>
      <c r="B214" s="33" t="s">
        <v>191</v>
      </c>
      <c r="C214" s="27">
        <v>700</v>
      </c>
      <c r="D214" s="27"/>
      <c r="E214" s="27"/>
      <c r="F214" s="27" t="s">
        <v>13</v>
      </c>
      <c r="G214" s="27" t="s">
        <v>13</v>
      </c>
      <c r="H214" s="27" t="s">
        <v>13</v>
      </c>
      <c r="I214" s="27" t="s">
        <v>13</v>
      </c>
      <c r="J214" s="27" t="s">
        <v>14</v>
      </c>
      <c r="L214" s="31"/>
      <c r="M214" s="31"/>
      <c r="N214" s="31"/>
      <c r="O214" s="31"/>
      <c r="P214" s="31"/>
      <c r="Q214" s="31"/>
      <c r="R214" s="31"/>
      <c r="S214" s="31"/>
    </row>
    <row r="215" s="1" customFormat="1" ht="15" spans="1:19">
      <c r="A215" s="27"/>
      <c r="B215" s="33" t="s">
        <v>192</v>
      </c>
      <c r="C215" s="27">
        <v>700</v>
      </c>
      <c r="D215" s="27"/>
      <c r="E215" s="27"/>
      <c r="F215" s="27"/>
      <c r="G215" s="27" t="s">
        <v>13</v>
      </c>
      <c r="H215" s="27" t="s">
        <v>13</v>
      </c>
      <c r="I215" s="27" t="s">
        <v>13</v>
      </c>
      <c r="J215" s="27" t="s">
        <v>14</v>
      </c>
      <c r="L215" s="31"/>
      <c r="M215" s="31"/>
      <c r="N215" s="31"/>
      <c r="O215" s="31"/>
      <c r="P215" s="31"/>
      <c r="Q215" s="31"/>
      <c r="R215" s="31"/>
      <c r="S215" s="31"/>
    </row>
    <row r="216" s="1" customFormat="1" ht="15" spans="1:19">
      <c r="A216" s="27"/>
      <c r="B216" s="33" t="s">
        <v>193</v>
      </c>
      <c r="C216" s="27">
        <v>800</v>
      </c>
      <c r="D216" s="27"/>
      <c r="E216" s="27"/>
      <c r="F216" s="27"/>
      <c r="G216" s="27" t="s">
        <v>13</v>
      </c>
      <c r="H216" s="27" t="s">
        <v>13</v>
      </c>
      <c r="I216" s="27" t="s">
        <v>13</v>
      </c>
      <c r="J216" s="27" t="s">
        <v>14</v>
      </c>
      <c r="L216" s="31"/>
      <c r="M216" s="31"/>
      <c r="N216" s="31"/>
      <c r="O216" s="31"/>
      <c r="P216" s="31"/>
      <c r="Q216" s="31"/>
      <c r="R216" s="31"/>
      <c r="S216" s="31"/>
    </row>
    <row r="217" s="1" customFormat="1" ht="15" spans="1:19">
      <c r="A217" s="27"/>
      <c r="B217" s="33" t="s">
        <v>194</v>
      </c>
      <c r="C217" s="27">
        <v>800</v>
      </c>
      <c r="D217" s="27"/>
      <c r="E217" s="27"/>
      <c r="F217" s="27"/>
      <c r="G217" s="27"/>
      <c r="H217" s="27" t="s">
        <v>13</v>
      </c>
      <c r="I217" s="27" t="s">
        <v>13</v>
      </c>
      <c r="J217" s="27" t="s">
        <v>14</v>
      </c>
      <c r="L217" s="31"/>
      <c r="M217" s="31"/>
      <c r="N217" s="31"/>
      <c r="O217" s="31"/>
      <c r="P217" s="31"/>
      <c r="Q217" s="31"/>
      <c r="R217" s="31"/>
      <c r="S217" s="31"/>
    </row>
    <row r="218" s="1" customFormat="1" ht="15" spans="1:19">
      <c r="A218" s="27"/>
      <c r="B218" s="33" t="s">
        <v>195</v>
      </c>
      <c r="C218" s="27">
        <v>800</v>
      </c>
      <c r="D218" s="27"/>
      <c r="E218" s="27"/>
      <c r="F218" s="27"/>
      <c r="G218" s="27"/>
      <c r="H218" s="27" t="s">
        <v>13</v>
      </c>
      <c r="I218" s="27" t="s">
        <v>13</v>
      </c>
      <c r="J218" s="27" t="s">
        <v>14</v>
      </c>
      <c r="L218" s="31"/>
      <c r="M218" s="31"/>
      <c r="N218" s="31"/>
      <c r="O218" s="31"/>
      <c r="P218" s="31"/>
      <c r="Q218" s="31"/>
      <c r="R218" s="31"/>
      <c r="S218" s="31"/>
    </row>
    <row r="219" s="1" customFormat="1" ht="15" spans="1:19">
      <c r="A219" s="27"/>
      <c r="B219" s="33" t="s">
        <v>196</v>
      </c>
      <c r="C219" s="27">
        <v>1500</v>
      </c>
      <c r="D219" s="27"/>
      <c r="E219" s="27"/>
      <c r="F219" s="27"/>
      <c r="G219" s="27"/>
      <c r="H219" s="27"/>
      <c r="I219" s="27" t="s">
        <v>13</v>
      </c>
      <c r="J219" s="27" t="s">
        <v>14</v>
      </c>
      <c r="L219" s="31"/>
      <c r="M219" s="31"/>
      <c r="N219" s="31"/>
      <c r="O219" s="31"/>
      <c r="P219" s="31"/>
      <c r="Q219" s="31"/>
      <c r="R219" s="31"/>
      <c r="S219" s="31"/>
    </row>
    <row r="220" s="1" customFormat="1" ht="15" spans="1:19">
      <c r="A220" s="27"/>
      <c r="B220" s="33" t="s">
        <v>197</v>
      </c>
      <c r="C220" s="27">
        <v>1500</v>
      </c>
      <c r="D220" s="27"/>
      <c r="E220" s="27"/>
      <c r="F220" s="27"/>
      <c r="G220" s="27"/>
      <c r="H220" s="27"/>
      <c r="I220" s="27" t="s">
        <v>13</v>
      </c>
      <c r="J220" s="27" t="s">
        <v>14</v>
      </c>
      <c r="L220" s="31"/>
      <c r="M220" s="31"/>
      <c r="N220" s="31"/>
      <c r="O220" s="31"/>
      <c r="P220" s="31"/>
      <c r="Q220" s="31"/>
      <c r="R220" s="31"/>
      <c r="S220" s="31"/>
    </row>
    <row r="221" s="1" customFormat="1" ht="15" spans="1:19">
      <c r="A221" s="36"/>
      <c r="B221" s="37" t="s">
        <v>187</v>
      </c>
      <c r="C221" s="38"/>
      <c r="D221" s="27">
        <f>SUMIF(D211:D220,"&lt;&gt;",C211:C220)</f>
        <v>1200</v>
      </c>
      <c r="E221" s="27">
        <f>SUMIF(E211:E220,"&lt;&gt;",C211:C220)</f>
        <v>1900</v>
      </c>
      <c r="F221" s="27">
        <f>SUMIF(F211:F220,"&lt;&gt;",C211:C220)</f>
        <v>2600</v>
      </c>
      <c r="G221" s="27">
        <f>SUMIF(G211:G220,"&lt;&gt;",C211:C220)</f>
        <v>4100</v>
      </c>
      <c r="H221" s="27">
        <f>SUMIF(H211:H220,"&lt;&gt;",C211:C220)</f>
        <v>5700</v>
      </c>
      <c r="I221" s="27">
        <f>SUMIF(I211:I220,"&lt;&gt;",C211:C220)</f>
        <v>8700</v>
      </c>
      <c r="J221" s="27"/>
      <c r="L221" s="31"/>
      <c r="M221" s="31"/>
      <c r="N221" s="31"/>
      <c r="O221" s="31"/>
      <c r="P221" s="31"/>
      <c r="Q221" s="31"/>
      <c r="R221" s="31"/>
      <c r="S221" s="31"/>
    </row>
    <row r="222" s="1" customFormat="1" ht="15.6" spans="1:19">
      <c r="A222" s="2"/>
      <c r="B222" s="2"/>
      <c r="C222" s="2"/>
      <c r="D222" s="39"/>
      <c r="E222" s="39"/>
      <c r="F222" s="39"/>
      <c r="G222" s="39"/>
      <c r="H222" s="39"/>
      <c r="I222" s="39"/>
      <c r="J222" s="39"/>
      <c r="L222" s="31"/>
      <c r="M222" s="31"/>
      <c r="N222" s="31"/>
      <c r="O222" s="31"/>
      <c r="P222" s="31"/>
      <c r="Q222" s="31"/>
      <c r="R222" s="31"/>
      <c r="S222" s="31"/>
    </row>
    <row r="223" s="1" customFormat="1" ht="31.2" spans="1:19">
      <c r="A223" s="29" t="s">
        <v>1</v>
      </c>
      <c r="B223" s="29" t="s">
        <v>2</v>
      </c>
      <c r="C223" s="29" t="s">
        <v>3</v>
      </c>
      <c r="D223" s="30" t="s">
        <v>4</v>
      </c>
      <c r="E223" s="30" t="s">
        <v>5</v>
      </c>
      <c r="F223" s="30" t="s">
        <v>6</v>
      </c>
      <c r="G223" s="30" t="s">
        <v>7</v>
      </c>
      <c r="H223" s="30" t="s">
        <v>8</v>
      </c>
      <c r="I223" s="30" t="s">
        <v>9</v>
      </c>
      <c r="J223" s="30" t="s">
        <v>10</v>
      </c>
      <c r="L223" s="31"/>
      <c r="M223" s="31"/>
      <c r="N223" s="31"/>
      <c r="O223" s="31"/>
      <c r="P223" s="31"/>
      <c r="Q223" s="31"/>
      <c r="R223" s="31"/>
      <c r="S223" s="31"/>
    </row>
    <row r="224" s="1" customFormat="1" ht="15" spans="1:19">
      <c r="A224" s="27" t="s">
        <v>198</v>
      </c>
      <c r="B224" s="15" t="s">
        <v>199</v>
      </c>
      <c r="C224" s="27">
        <v>600</v>
      </c>
      <c r="D224" s="27" t="s">
        <v>13</v>
      </c>
      <c r="E224" s="27" t="s">
        <v>13</v>
      </c>
      <c r="F224" s="27" t="s">
        <v>13</v>
      </c>
      <c r="G224" s="27" t="s">
        <v>13</v>
      </c>
      <c r="H224" s="27" t="s">
        <v>13</v>
      </c>
      <c r="I224" s="27" t="s">
        <v>13</v>
      </c>
      <c r="J224" s="27" t="s">
        <v>14</v>
      </c>
      <c r="L224" s="31"/>
      <c r="M224" s="31"/>
      <c r="N224" s="31"/>
      <c r="O224" s="31"/>
      <c r="P224" s="31"/>
      <c r="Q224" s="31"/>
      <c r="R224" s="31"/>
      <c r="S224" s="31"/>
    </row>
    <row r="225" s="1" customFormat="1" ht="15" spans="1:19">
      <c r="A225" s="27"/>
      <c r="B225" s="15" t="s">
        <v>200</v>
      </c>
      <c r="C225" s="27">
        <v>600</v>
      </c>
      <c r="D225" s="27" t="s">
        <v>13</v>
      </c>
      <c r="E225" s="27" t="s">
        <v>13</v>
      </c>
      <c r="F225" s="27" t="s">
        <v>13</v>
      </c>
      <c r="G225" s="27" t="s">
        <v>13</v>
      </c>
      <c r="H225" s="27" t="s">
        <v>13</v>
      </c>
      <c r="I225" s="27" t="s">
        <v>13</v>
      </c>
      <c r="J225" s="27" t="s">
        <v>14</v>
      </c>
      <c r="L225" s="31"/>
      <c r="M225" s="31"/>
      <c r="N225" s="31"/>
      <c r="O225" s="31"/>
      <c r="P225" s="31"/>
      <c r="Q225" s="31"/>
      <c r="R225" s="31"/>
      <c r="S225" s="31"/>
    </row>
    <row r="226" s="1" customFormat="1" ht="15" spans="1:19">
      <c r="A226" s="27"/>
      <c r="B226" s="15" t="s">
        <v>201</v>
      </c>
      <c r="C226" s="27">
        <v>700</v>
      </c>
      <c r="D226" s="27"/>
      <c r="E226" s="27" t="s">
        <v>13</v>
      </c>
      <c r="F226" s="27" t="s">
        <v>13</v>
      </c>
      <c r="G226" s="27" t="s">
        <v>13</v>
      </c>
      <c r="H226" s="27" t="s">
        <v>13</v>
      </c>
      <c r="I226" s="27" t="s">
        <v>13</v>
      </c>
      <c r="J226" s="27" t="s">
        <v>14</v>
      </c>
      <c r="L226" s="31"/>
      <c r="M226" s="31"/>
      <c r="N226" s="31"/>
      <c r="O226" s="31"/>
      <c r="P226" s="31"/>
      <c r="Q226" s="31"/>
      <c r="R226" s="31"/>
      <c r="S226" s="31"/>
    </row>
    <row r="227" s="1" customFormat="1" ht="15" spans="1:19">
      <c r="A227" s="27"/>
      <c r="B227" s="15" t="s">
        <v>202</v>
      </c>
      <c r="C227" s="27">
        <v>700</v>
      </c>
      <c r="D227" s="27"/>
      <c r="E227" s="27"/>
      <c r="F227" s="27" t="s">
        <v>13</v>
      </c>
      <c r="G227" s="27" t="s">
        <v>13</v>
      </c>
      <c r="H227" s="27" t="s">
        <v>13</v>
      </c>
      <c r="I227" s="27" t="s">
        <v>13</v>
      </c>
      <c r="J227" s="27" t="s">
        <v>14</v>
      </c>
      <c r="L227" s="31"/>
      <c r="M227" s="31"/>
      <c r="N227" s="31"/>
      <c r="O227" s="31"/>
      <c r="P227" s="31"/>
      <c r="Q227" s="31"/>
      <c r="R227" s="31"/>
      <c r="S227" s="31"/>
    </row>
    <row r="228" s="1" customFormat="1" ht="15" spans="1:19">
      <c r="A228" s="27"/>
      <c r="B228" s="15" t="s">
        <v>203</v>
      </c>
      <c r="C228" s="27">
        <v>700</v>
      </c>
      <c r="D228" s="27"/>
      <c r="E228" s="27"/>
      <c r="F228" s="27"/>
      <c r="G228" s="27" t="s">
        <v>13</v>
      </c>
      <c r="H228" s="27" t="s">
        <v>13</v>
      </c>
      <c r="I228" s="27" t="s">
        <v>13</v>
      </c>
      <c r="J228" s="27" t="s">
        <v>14</v>
      </c>
      <c r="L228" s="31"/>
      <c r="M228" s="31"/>
      <c r="N228" s="31"/>
      <c r="O228" s="31"/>
      <c r="P228" s="31"/>
      <c r="Q228" s="31"/>
      <c r="R228" s="31"/>
      <c r="S228" s="31"/>
    </row>
    <row r="229" s="1" customFormat="1" ht="15" spans="1:19">
      <c r="A229" s="27"/>
      <c r="B229" s="15" t="s">
        <v>204</v>
      </c>
      <c r="C229" s="27">
        <v>800</v>
      </c>
      <c r="D229" s="27"/>
      <c r="E229" s="27"/>
      <c r="F229" s="27"/>
      <c r="G229" s="27" t="s">
        <v>13</v>
      </c>
      <c r="H229" s="27" t="s">
        <v>13</v>
      </c>
      <c r="I229" s="27" t="s">
        <v>13</v>
      </c>
      <c r="J229" s="27" t="s">
        <v>14</v>
      </c>
      <c r="L229" s="31"/>
      <c r="M229" s="31"/>
      <c r="N229" s="31"/>
      <c r="O229" s="31"/>
      <c r="P229" s="31"/>
      <c r="Q229" s="31"/>
      <c r="R229" s="31"/>
      <c r="S229" s="31"/>
    </row>
    <row r="230" s="1" customFormat="1" ht="15" spans="1:19">
      <c r="A230" s="27"/>
      <c r="B230" s="15" t="s">
        <v>205</v>
      </c>
      <c r="C230" s="27">
        <v>800</v>
      </c>
      <c r="D230" s="27"/>
      <c r="E230" s="27"/>
      <c r="F230" s="27"/>
      <c r="G230" s="27"/>
      <c r="H230" s="27" t="s">
        <v>13</v>
      </c>
      <c r="I230" s="27" t="s">
        <v>13</v>
      </c>
      <c r="J230" s="27" t="s">
        <v>14</v>
      </c>
      <c r="L230" s="31"/>
      <c r="M230" s="31"/>
      <c r="N230" s="31"/>
      <c r="O230" s="31"/>
      <c r="P230" s="31"/>
      <c r="Q230" s="31"/>
      <c r="R230" s="31"/>
      <c r="S230" s="31"/>
    </row>
    <row r="231" s="1" customFormat="1" ht="15" spans="1:19">
      <c r="A231" s="27"/>
      <c r="B231" s="15" t="s">
        <v>206</v>
      </c>
      <c r="C231" s="27">
        <v>800</v>
      </c>
      <c r="D231" s="27"/>
      <c r="E231" s="27"/>
      <c r="F231" s="27"/>
      <c r="G231" s="27"/>
      <c r="H231" s="27" t="s">
        <v>13</v>
      </c>
      <c r="I231" s="27" t="s">
        <v>13</v>
      </c>
      <c r="J231" s="27" t="s">
        <v>14</v>
      </c>
      <c r="L231" s="31"/>
      <c r="M231" s="31"/>
      <c r="N231" s="31"/>
      <c r="O231" s="31"/>
      <c r="P231" s="31"/>
      <c r="Q231" s="31"/>
      <c r="R231" s="31"/>
      <c r="S231" s="31"/>
    </row>
    <row r="232" s="1" customFormat="1" ht="15" spans="1:19">
      <c r="A232" s="27"/>
      <c r="B232" s="15" t="s">
        <v>207</v>
      </c>
      <c r="C232" s="27">
        <v>1500</v>
      </c>
      <c r="D232" s="27"/>
      <c r="E232" s="27"/>
      <c r="F232" s="27"/>
      <c r="G232" s="27"/>
      <c r="H232" s="27"/>
      <c r="I232" s="27" t="s">
        <v>13</v>
      </c>
      <c r="J232" s="27" t="s">
        <v>14</v>
      </c>
      <c r="L232" s="31"/>
      <c r="M232" s="31"/>
      <c r="N232" s="31"/>
      <c r="O232" s="31"/>
      <c r="P232" s="31"/>
      <c r="Q232" s="31"/>
      <c r="R232" s="31"/>
      <c r="S232" s="31"/>
    </row>
    <row r="233" s="1" customFormat="1" ht="15" spans="1:19">
      <c r="A233" s="27"/>
      <c r="B233" s="15" t="s">
        <v>208</v>
      </c>
      <c r="C233" s="27">
        <v>1500</v>
      </c>
      <c r="D233" s="27"/>
      <c r="E233" s="27"/>
      <c r="F233" s="27"/>
      <c r="G233" s="27"/>
      <c r="H233" s="27"/>
      <c r="I233" s="27" t="s">
        <v>13</v>
      </c>
      <c r="J233" s="27" t="s">
        <v>14</v>
      </c>
      <c r="L233" s="31"/>
      <c r="M233" s="31"/>
      <c r="N233" s="31"/>
      <c r="O233" s="31"/>
      <c r="P233" s="31"/>
      <c r="Q233" s="31"/>
      <c r="R233" s="31"/>
      <c r="S233" s="31"/>
    </row>
    <row r="234" s="1" customFormat="1" ht="15" spans="1:19">
      <c r="A234" s="36"/>
      <c r="B234" s="37" t="s">
        <v>198</v>
      </c>
      <c r="C234" s="38"/>
      <c r="D234" s="38">
        <f t="shared" ref="D234:H234" si="6">SUMIF(D224:D233,"&lt;&gt;",$C$42:$C$51)</f>
        <v>1100</v>
      </c>
      <c r="E234" s="27">
        <f>SUMIF(E224:E233,"&lt;&gt;",C224:C233)</f>
        <v>1900</v>
      </c>
      <c r="F234" s="27">
        <f t="shared" si="6"/>
        <v>1700</v>
      </c>
      <c r="G234" s="27">
        <f t="shared" si="6"/>
        <v>1700</v>
      </c>
      <c r="H234" s="27">
        <f t="shared" si="6"/>
        <v>2900</v>
      </c>
      <c r="I234" s="27">
        <f>SUMIF(I224:I233,"&lt;&gt;",C224:C233)</f>
        <v>8700</v>
      </c>
      <c r="J234" s="27"/>
      <c r="L234" s="31"/>
      <c r="M234" s="31"/>
      <c r="N234" s="31"/>
      <c r="O234" s="31"/>
      <c r="P234" s="31"/>
      <c r="Q234" s="31"/>
      <c r="R234" s="31"/>
      <c r="S234" s="31"/>
    </row>
    <row r="235" s="1" customFormat="1" ht="15" spans="1:19">
      <c r="A235" s="43"/>
      <c r="B235" s="44"/>
      <c r="C235" s="44"/>
      <c r="D235" s="44"/>
      <c r="E235" s="44"/>
      <c r="F235" s="44"/>
      <c r="G235" s="44"/>
      <c r="H235" s="44"/>
      <c r="I235" s="44"/>
      <c r="J235" s="44"/>
      <c r="L235" s="31"/>
      <c r="M235" s="31"/>
      <c r="N235" s="31"/>
      <c r="O235" s="31"/>
      <c r="P235" s="31"/>
      <c r="Q235" s="31"/>
      <c r="R235" s="31"/>
      <c r="S235" s="31"/>
    </row>
    <row r="236" s="1" customFormat="1" ht="31.2" spans="1:19">
      <c r="A236" s="29" t="s">
        <v>1</v>
      </c>
      <c r="B236" s="29" t="s">
        <v>2</v>
      </c>
      <c r="C236" s="29" t="s">
        <v>3</v>
      </c>
      <c r="D236" s="30" t="s">
        <v>4</v>
      </c>
      <c r="E236" s="30" t="s">
        <v>5</v>
      </c>
      <c r="F236" s="30" t="s">
        <v>6</v>
      </c>
      <c r="G236" s="30" t="s">
        <v>7</v>
      </c>
      <c r="H236" s="30" t="s">
        <v>8</v>
      </c>
      <c r="I236" s="30" t="s">
        <v>9</v>
      </c>
      <c r="J236" s="30" t="s">
        <v>10</v>
      </c>
      <c r="L236" s="31"/>
      <c r="M236" s="31"/>
      <c r="N236" s="31"/>
      <c r="O236" s="31"/>
      <c r="P236" s="31"/>
      <c r="Q236" s="31"/>
      <c r="R236" s="31"/>
      <c r="S236" s="31"/>
    </row>
    <row r="237" s="1" customFormat="1" ht="15" spans="1:19">
      <c r="A237" s="27" t="s">
        <v>209</v>
      </c>
      <c r="B237" s="15" t="s">
        <v>210</v>
      </c>
      <c r="C237" s="27">
        <v>600</v>
      </c>
      <c r="D237" s="27" t="s">
        <v>13</v>
      </c>
      <c r="E237" s="27" t="s">
        <v>13</v>
      </c>
      <c r="F237" s="27" t="s">
        <v>13</v>
      </c>
      <c r="G237" s="27" t="s">
        <v>13</v>
      </c>
      <c r="H237" s="27" t="s">
        <v>13</v>
      </c>
      <c r="I237" s="27" t="s">
        <v>13</v>
      </c>
      <c r="J237" s="27" t="s">
        <v>14</v>
      </c>
      <c r="L237" s="31"/>
      <c r="M237" s="31"/>
      <c r="N237" s="31"/>
      <c r="O237" s="31"/>
      <c r="P237" s="31"/>
      <c r="Q237" s="31"/>
      <c r="R237" s="31"/>
      <c r="S237" s="31"/>
    </row>
    <row r="238" s="1" customFormat="1" ht="15" spans="1:19">
      <c r="A238" s="27"/>
      <c r="B238" s="15" t="s">
        <v>211</v>
      </c>
      <c r="C238" s="27">
        <v>600</v>
      </c>
      <c r="D238" s="27" t="s">
        <v>13</v>
      </c>
      <c r="E238" s="27" t="s">
        <v>13</v>
      </c>
      <c r="F238" s="27" t="s">
        <v>13</v>
      </c>
      <c r="G238" s="27" t="s">
        <v>13</v>
      </c>
      <c r="H238" s="27" t="s">
        <v>13</v>
      </c>
      <c r="I238" s="27" t="s">
        <v>13</v>
      </c>
      <c r="J238" s="27" t="s">
        <v>14</v>
      </c>
      <c r="L238" s="31"/>
      <c r="M238" s="31"/>
      <c r="N238" s="31"/>
      <c r="O238" s="31"/>
      <c r="P238" s="31"/>
      <c r="Q238" s="31"/>
      <c r="R238" s="31"/>
      <c r="S238" s="31"/>
    </row>
    <row r="239" s="1" customFormat="1" ht="15" spans="1:19">
      <c r="A239" s="27"/>
      <c r="B239" s="15" t="s">
        <v>212</v>
      </c>
      <c r="C239" s="27">
        <v>700</v>
      </c>
      <c r="D239" s="27"/>
      <c r="E239" s="27" t="s">
        <v>13</v>
      </c>
      <c r="F239" s="27" t="s">
        <v>13</v>
      </c>
      <c r="G239" s="27" t="s">
        <v>13</v>
      </c>
      <c r="H239" s="27" t="s">
        <v>13</v>
      </c>
      <c r="I239" s="27" t="s">
        <v>13</v>
      </c>
      <c r="J239" s="27" t="s">
        <v>14</v>
      </c>
      <c r="L239" s="31"/>
      <c r="M239" s="31"/>
      <c r="N239" s="31"/>
      <c r="O239" s="31"/>
      <c r="P239" s="31"/>
      <c r="Q239" s="31"/>
      <c r="R239" s="31"/>
      <c r="S239" s="31"/>
    </row>
    <row r="240" s="1" customFormat="1" ht="15" spans="1:19">
      <c r="A240" s="27"/>
      <c r="B240" s="15" t="s">
        <v>213</v>
      </c>
      <c r="C240" s="27">
        <v>700</v>
      </c>
      <c r="D240" s="27"/>
      <c r="E240" s="27"/>
      <c r="F240" s="27" t="s">
        <v>13</v>
      </c>
      <c r="G240" s="27" t="s">
        <v>13</v>
      </c>
      <c r="H240" s="27" t="s">
        <v>13</v>
      </c>
      <c r="I240" s="27" t="s">
        <v>13</v>
      </c>
      <c r="J240" s="27" t="s">
        <v>14</v>
      </c>
      <c r="L240" s="31"/>
      <c r="M240" s="31"/>
      <c r="N240" s="31"/>
      <c r="O240" s="31"/>
      <c r="P240" s="31"/>
      <c r="Q240" s="31"/>
      <c r="R240" s="31"/>
      <c r="S240" s="31"/>
    </row>
    <row r="241" s="1" customFormat="1" ht="15" spans="1:19">
      <c r="A241" s="27"/>
      <c r="B241" s="15" t="s">
        <v>214</v>
      </c>
      <c r="C241" s="27">
        <v>700</v>
      </c>
      <c r="D241" s="27"/>
      <c r="E241" s="27"/>
      <c r="F241" s="27"/>
      <c r="G241" s="27" t="s">
        <v>13</v>
      </c>
      <c r="H241" s="27" t="s">
        <v>13</v>
      </c>
      <c r="I241" s="27" t="s">
        <v>13</v>
      </c>
      <c r="J241" s="27" t="s">
        <v>14</v>
      </c>
      <c r="L241" s="31"/>
      <c r="M241" s="31"/>
      <c r="N241" s="31"/>
      <c r="O241" s="31"/>
      <c r="P241" s="31"/>
      <c r="Q241" s="31"/>
      <c r="R241" s="31"/>
      <c r="S241" s="31"/>
    </row>
    <row r="242" s="1" customFormat="1" ht="15" spans="1:19">
      <c r="A242" s="27"/>
      <c r="B242" s="15" t="s">
        <v>215</v>
      </c>
      <c r="C242" s="27">
        <v>800</v>
      </c>
      <c r="D242" s="27"/>
      <c r="E242" s="27"/>
      <c r="F242" s="27"/>
      <c r="G242" s="27" t="s">
        <v>13</v>
      </c>
      <c r="H242" s="27" t="s">
        <v>13</v>
      </c>
      <c r="I242" s="27" t="s">
        <v>13</v>
      </c>
      <c r="J242" s="27" t="s">
        <v>14</v>
      </c>
      <c r="L242" s="31"/>
      <c r="M242" s="31"/>
      <c r="N242" s="31"/>
      <c r="O242" s="31"/>
      <c r="P242" s="31"/>
      <c r="Q242" s="31"/>
      <c r="R242" s="31"/>
      <c r="S242" s="31"/>
    </row>
    <row r="243" s="1" customFormat="1" ht="15" spans="1:19">
      <c r="A243" s="27"/>
      <c r="B243" s="15" t="s">
        <v>216</v>
      </c>
      <c r="C243" s="27">
        <v>800</v>
      </c>
      <c r="D243" s="27"/>
      <c r="E243" s="27"/>
      <c r="F243" s="27"/>
      <c r="G243" s="27"/>
      <c r="H243" s="27" t="s">
        <v>13</v>
      </c>
      <c r="I243" s="27" t="s">
        <v>13</v>
      </c>
      <c r="J243" s="27" t="s">
        <v>14</v>
      </c>
      <c r="L243" s="31"/>
      <c r="M243" s="31"/>
      <c r="N243" s="31"/>
      <c r="O243" s="31"/>
      <c r="P243" s="31"/>
      <c r="Q243" s="31"/>
      <c r="R243" s="31"/>
      <c r="S243" s="31"/>
    </row>
    <row r="244" s="1" customFormat="1" ht="15" spans="1:19">
      <c r="A244" s="27"/>
      <c r="B244" s="15" t="s">
        <v>217</v>
      </c>
      <c r="C244" s="27">
        <v>800</v>
      </c>
      <c r="D244" s="27"/>
      <c r="E244" s="27"/>
      <c r="F244" s="27"/>
      <c r="G244" s="27"/>
      <c r="H244" s="27" t="s">
        <v>13</v>
      </c>
      <c r="I244" s="27" t="s">
        <v>13</v>
      </c>
      <c r="J244" s="27" t="s">
        <v>14</v>
      </c>
      <c r="L244" s="31"/>
      <c r="M244" s="31"/>
      <c r="N244" s="31"/>
      <c r="O244" s="31"/>
      <c r="P244" s="31"/>
      <c r="Q244" s="31"/>
      <c r="R244" s="31"/>
      <c r="S244" s="31"/>
    </row>
    <row r="245" s="1" customFormat="1" ht="15" spans="1:19">
      <c r="A245" s="27"/>
      <c r="B245" s="15" t="s">
        <v>218</v>
      </c>
      <c r="C245" s="27">
        <v>1500</v>
      </c>
      <c r="D245" s="27"/>
      <c r="E245" s="27"/>
      <c r="F245" s="27"/>
      <c r="G245" s="27"/>
      <c r="H245" s="27"/>
      <c r="I245" s="27" t="s">
        <v>13</v>
      </c>
      <c r="J245" s="27" t="s">
        <v>14</v>
      </c>
      <c r="L245" s="31"/>
      <c r="M245" s="31"/>
      <c r="N245" s="31"/>
      <c r="O245" s="31"/>
      <c r="P245" s="31"/>
      <c r="Q245" s="31"/>
      <c r="R245" s="31"/>
      <c r="S245" s="31"/>
    </row>
    <row r="246" s="1" customFormat="1" ht="15" spans="1:19">
      <c r="A246" s="27"/>
      <c r="B246" s="15" t="s">
        <v>219</v>
      </c>
      <c r="C246" s="27">
        <v>1500</v>
      </c>
      <c r="D246" s="27"/>
      <c r="E246" s="27"/>
      <c r="F246" s="27"/>
      <c r="G246" s="27"/>
      <c r="H246" s="27"/>
      <c r="I246" s="27" t="s">
        <v>13</v>
      </c>
      <c r="J246" s="27" t="s">
        <v>14</v>
      </c>
      <c r="L246" s="31"/>
      <c r="M246" s="31"/>
      <c r="N246" s="31"/>
      <c r="O246" s="31"/>
      <c r="P246" s="31"/>
      <c r="Q246" s="31"/>
      <c r="R246" s="31"/>
      <c r="S246" s="31"/>
    </row>
    <row r="247" s="1" customFormat="1" ht="15" spans="1:19">
      <c r="A247" s="36"/>
      <c r="B247" s="37" t="s">
        <v>209</v>
      </c>
      <c r="C247" s="38"/>
      <c r="D247" s="27">
        <f>SUMIF(D237:D246,"&lt;&gt;",C237:C246)</f>
        <v>1200</v>
      </c>
      <c r="E247" s="27">
        <f>SUMIF(E237:E246,"&lt;&gt;",C237:C246)</f>
        <v>1900</v>
      </c>
      <c r="F247" s="27">
        <f>SUMIF(F237:F246,"&lt;&gt;",C237:C246)</f>
        <v>2600</v>
      </c>
      <c r="G247" s="27">
        <f>SUMIF(G237:G246,"&lt;&gt;",C237:C246)</f>
        <v>4100</v>
      </c>
      <c r="H247" s="27">
        <f>SUMIF(H237:H246,"&lt;&gt;",C237:C246)</f>
        <v>5700</v>
      </c>
      <c r="I247" s="27">
        <f>SUMIF(I237:I246,"&lt;&gt;",C237:C246)</f>
        <v>8700</v>
      </c>
      <c r="J247" s="27"/>
      <c r="L247" s="31"/>
      <c r="M247" s="31"/>
      <c r="N247" s="31"/>
      <c r="O247" s="31"/>
      <c r="P247" s="31"/>
      <c r="Q247" s="31"/>
      <c r="R247" s="31"/>
      <c r="S247" s="31"/>
    </row>
    <row r="248" s="1" customFormat="1" ht="15.6" spans="1:19">
      <c r="A248" s="2"/>
      <c r="B248" s="2"/>
      <c r="C248" s="2"/>
      <c r="D248" s="39"/>
      <c r="E248" s="39"/>
      <c r="F248" s="39"/>
      <c r="G248" s="39"/>
      <c r="H248" s="39"/>
      <c r="I248" s="39"/>
      <c r="J248" s="39"/>
      <c r="L248" s="31"/>
      <c r="M248" s="31"/>
      <c r="N248" s="31"/>
      <c r="O248" s="31"/>
      <c r="P248" s="31"/>
      <c r="Q248" s="31"/>
      <c r="R248" s="31"/>
      <c r="S248" s="31"/>
    </row>
    <row r="249" s="1" customFormat="1" ht="31.2" spans="1:19">
      <c r="A249" s="29" t="s">
        <v>1</v>
      </c>
      <c r="B249" s="29" t="s">
        <v>2</v>
      </c>
      <c r="C249" s="29" t="s">
        <v>3</v>
      </c>
      <c r="D249" s="30" t="s">
        <v>4</v>
      </c>
      <c r="E249" s="30" t="s">
        <v>5</v>
      </c>
      <c r="F249" s="30" t="s">
        <v>6</v>
      </c>
      <c r="G249" s="30" t="s">
        <v>7</v>
      </c>
      <c r="H249" s="30" t="s">
        <v>8</v>
      </c>
      <c r="I249" s="30" t="s">
        <v>9</v>
      </c>
      <c r="J249" s="30" t="s">
        <v>10</v>
      </c>
      <c r="L249" s="31"/>
      <c r="M249" s="31"/>
      <c r="N249" s="31"/>
      <c r="O249" s="31"/>
      <c r="P249" s="31"/>
      <c r="Q249" s="31"/>
      <c r="R249" s="31"/>
      <c r="S249" s="31"/>
    </row>
    <row r="250" s="1" customFormat="1" ht="15" spans="1:19">
      <c r="A250" s="40" t="s">
        <v>220</v>
      </c>
      <c r="B250" s="48" t="s">
        <v>221</v>
      </c>
      <c r="C250" s="27">
        <v>600</v>
      </c>
      <c r="D250" s="27" t="s">
        <v>13</v>
      </c>
      <c r="E250" s="27" t="s">
        <v>13</v>
      </c>
      <c r="F250" s="27" t="s">
        <v>13</v>
      </c>
      <c r="G250" s="27" t="s">
        <v>13</v>
      </c>
      <c r="H250" s="27" t="s">
        <v>13</v>
      </c>
      <c r="I250" s="27"/>
      <c r="J250" s="27" t="s">
        <v>14</v>
      </c>
      <c r="L250" s="31"/>
      <c r="M250" s="31"/>
      <c r="N250" s="31"/>
      <c r="O250" s="31"/>
      <c r="P250" s="31"/>
      <c r="Q250" s="31"/>
      <c r="R250" s="31"/>
      <c r="S250" s="31"/>
    </row>
    <row r="251" s="1" customFormat="1" ht="15" spans="1:19">
      <c r="A251" s="42"/>
      <c r="B251" s="48" t="s">
        <v>222</v>
      </c>
      <c r="C251" s="27">
        <v>600</v>
      </c>
      <c r="D251" s="27" t="s">
        <v>13</v>
      </c>
      <c r="E251" s="27" t="s">
        <v>13</v>
      </c>
      <c r="F251" s="27" t="s">
        <v>13</v>
      </c>
      <c r="G251" s="27" t="s">
        <v>13</v>
      </c>
      <c r="H251" s="27" t="s">
        <v>13</v>
      </c>
      <c r="I251" s="27"/>
      <c r="J251" s="27" t="s">
        <v>14</v>
      </c>
      <c r="L251" s="31"/>
      <c r="M251" s="31"/>
      <c r="N251" s="31"/>
      <c r="O251" s="31"/>
      <c r="P251" s="31"/>
      <c r="Q251" s="31"/>
      <c r="R251" s="31"/>
      <c r="S251" s="31"/>
    </row>
    <row r="252" s="1" customFormat="1" ht="15" spans="1:19">
      <c r="A252" s="42"/>
      <c r="B252" s="48" t="s">
        <v>223</v>
      </c>
      <c r="C252" s="27">
        <v>700</v>
      </c>
      <c r="D252" s="27"/>
      <c r="E252" s="27" t="s">
        <v>13</v>
      </c>
      <c r="F252" s="27" t="s">
        <v>13</v>
      </c>
      <c r="G252" s="27" t="s">
        <v>13</v>
      </c>
      <c r="H252" s="27" t="s">
        <v>13</v>
      </c>
      <c r="I252" s="27"/>
      <c r="J252" s="27" t="s">
        <v>14</v>
      </c>
      <c r="L252" s="31"/>
      <c r="M252" s="31"/>
      <c r="N252" s="31"/>
      <c r="O252" s="31"/>
      <c r="P252" s="31"/>
      <c r="Q252" s="31"/>
      <c r="R252" s="31"/>
      <c r="S252" s="31"/>
    </row>
    <row r="253" s="1" customFormat="1" ht="15" spans="1:19">
      <c r="A253" s="42"/>
      <c r="B253" s="49" t="s">
        <v>224</v>
      </c>
      <c r="C253" s="27">
        <v>700</v>
      </c>
      <c r="D253" s="27"/>
      <c r="E253" s="27"/>
      <c r="F253" s="27" t="s">
        <v>13</v>
      </c>
      <c r="G253" s="27" t="s">
        <v>13</v>
      </c>
      <c r="H253" s="27" t="s">
        <v>13</v>
      </c>
      <c r="I253" s="27"/>
      <c r="J253" s="27" t="s">
        <v>14</v>
      </c>
      <c r="L253" s="31"/>
      <c r="M253" s="31"/>
      <c r="N253" s="31"/>
      <c r="O253" s="31"/>
      <c r="P253" s="31"/>
      <c r="Q253" s="31"/>
      <c r="R253" s="31"/>
      <c r="S253" s="31"/>
    </row>
    <row r="254" s="1" customFormat="1" ht="15" spans="1:19">
      <c r="A254" s="42"/>
      <c r="B254" s="48" t="s">
        <v>225</v>
      </c>
      <c r="C254" s="27">
        <v>700</v>
      </c>
      <c r="D254" s="27"/>
      <c r="E254" s="27"/>
      <c r="F254" s="27"/>
      <c r="G254" s="27" t="s">
        <v>13</v>
      </c>
      <c r="H254" s="27" t="s">
        <v>13</v>
      </c>
      <c r="I254" s="27"/>
      <c r="J254" s="27" t="s">
        <v>14</v>
      </c>
      <c r="L254" s="31"/>
      <c r="M254" s="31"/>
      <c r="N254" s="31"/>
      <c r="O254" s="31"/>
      <c r="P254" s="31"/>
      <c r="Q254" s="31"/>
      <c r="R254" s="31"/>
      <c r="S254" s="31"/>
    </row>
    <row r="255" s="1" customFormat="1" ht="15" spans="1:19">
      <c r="A255" s="42"/>
      <c r="B255" s="15" t="s">
        <v>226</v>
      </c>
      <c r="C255" s="27">
        <v>800</v>
      </c>
      <c r="D255" s="27"/>
      <c r="E255" s="27"/>
      <c r="F255" s="27"/>
      <c r="G255" s="27" t="s">
        <v>13</v>
      </c>
      <c r="H255" s="27" t="s">
        <v>13</v>
      </c>
      <c r="I255" s="27"/>
      <c r="J255" s="27" t="s">
        <v>14</v>
      </c>
      <c r="L255" s="31"/>
      <c r="M255" s="31"/>
      <c r="N255" s="31"/>
      <c r="O255" s="31"/>
      <c r="P255" s="31"/>
      <c r="Q255" s="31"/>
      <c r="R255" s="31"/>
      <c r="S255" s="31"/>
    </row>
    <row r="256" s="1" customFormat="1" ht="15" spans="1:19">
      <c r="A256" s="42"/>
      <c r="B256" s="48" t="s">
        <v>216</v>
      </c>
      <c r="C256" s="27">
        <v>800</v>
      </c>
      <c r="D256" s="27"/>
      <c r="E256" s="27"/>
      <c r="F256" s="27"/>
      <c r="G256" s="27"/>
      <c r="H256" s="27" t="s">
        <v>13</v>
      </c>
      <c r="I256" s="27"/>
      <c r="J256" s="27" t="s">
        <v>14</v>
      </c>
      <c r="L256" s="31"/>
      <c r="M256" s="31"/>
      <c r="N256" s="31"/>
      <c r="O256" s="31"/>
      <c r="P256" s="31"/>
      <c r="Q256" s="31"/>
      <c r="R256" s="31"/>
      <c r="S256" s="31"/>
    </row>
    <row r="257" s="1" customFormat="1" ht="15" spans="1:19">
      <c r="A257" s="45"/>
      <c r="B257" s="48" t="s">
        <v>227</v>
      </c>
      <c r="C257" s="27">
        <v>800</v>
      </c>
      <c r="D257" s="27"/>
      <c r="E257" s="27"/>
      <c r="F257" s="27"/>
      <c r="G257" s="27"/>
      <c r="H257" s="27" t="s">
        <v>13</v>
      </c>
      <c r="I257" s="27"/>
      <c r="J257" s="27" t="s">
        <v>14</v>
      </c>
      <c r="L257" s="31"/>
      <c r="M257" s="31"/>
      <c r="N257" s="31"/>
      <c r="O257" s="31"/>
      <c r="P257" s="31"/>
      <c r="Q257" s="31"/>
      <c r="R257" s="31"/>
      <c r="S257" s="31"/>
    </row>
    <row r="258" s="1" customFormat="1" ht="15" spans="1:19">
      <c r="A258" s="36"/>
      <c r="B258" s="37" t="s">
        <v>220</v>
      </c>
      <c r="C258" s="38"/>
      <c r="D258" s="27">
        <f>SUMIF(D250:D257,"&lt;&gt;",C250:C257)</f>
        <v>1200</v>
      </c>
      <c r="E258" s="27">
        <f>SUMIF(E250:E257,"&lt;&gt;",C250:C257)</f>
        <v>1900</v>
      </c>
      <c r="F258" s="27">
        <f>SUMIF(F250:F257,"&lt;&gt;",C250:C257)</f>
        <v>2600</v>
      </c>
      <c r="G258" s="27">
        <f>SUMIF(G250:G257,"&lt;&gt;",C250:C257)</f>
        <v>4100</v>
      </c>
      <c r="H258" s="27">
        <f>SUMIF(H250:H257,"&lt;&gt;",C250:C257)</f>
        <v>5700</v>
      </c>
      <c r="I258" s="27"/>
      <c r="J258" s="27"/>
      <c r="L258" s="31"/>
      <c r="M258" s="31"/>
      <c r="N258" s="31"/>
      <c r="O258" s="31"/>
      <c r="P258" s="31"/>
      <c r="Q258" s="31"/>
      <c r="R258" s="31"/>
      <c r="S258" s="31"/>
    </row>
    <row r="259" s="1" customFormat="1" ht="15" spans="1:19">
      <c r="A259" s="43"/>
      <c r="B259" s="44"/>
      <c r="C259" s="44"/>
      <c r="D259" s="44"/>
      <c r="E259" s="44"/>
      <c r="F259" s="44"/>
      <c r="G259" s="44"/>
      <c r="H259" s="44"/>
      <c r="I259" s="44"/>
      <c r="J259" s="44"/>
      <c r="L259" s="31"/>
      <c r="M259" s="31"/>
      <c r="N259" s="31"/>
      <c r="O259" s="31"/>
      <c r="P259" s="31"/>
      <c r="Q259" s="31"/>
      <c r="R259" s="31"/>
      <c r="S259" s="31"/>
    </row>
    <row r="260" s="1" customFormat="1" ht="31.2" spans="1:19">
      <c r="A260" s="29" t="s">
        <v>1</v>
      </c>
      <c r="B260" s="29" t="s">
        <v>2</v>
      </c>
      <c r="C260" s="29" t="s">
        <v>3</v>
      </c>
      <c r="D260" s="30" t="s">
        <v>4</v>
      </c>
      <c r="E260" s="30" t="s">
        <v>5</v>
      </c>
      <c r="F260" s="30" t="s">
        <v>6</v>
      </c>
      <c r="G260" s="30" t="s">
        <v>7</v>
      </c>
      <c r="H260" s="30" t="s">
        <v>8</v>
      </c>
      <c r="I260" s="30" t="s">
        <v>9</v>
      </c>
      <c r="J260" s="30" t="s">
        <v>10</v>
      </c>
      <c r="L260" s="31"/>
      <c r="M260" s="31"/>
      <c r="N260" s="31"/>
      <c r="O260" s="31"/>
      <c r="P260" s="31"/>
      <c r="Q260" s="31"/>
      <c r="R260" s="31"/>
      <c r="S260" s="31"/>
    </row>
    <row r="261" s="1" customFormat="1" ht="30" spans="1:19">
      <c r="A261" s="40" t="s">
        <v>82</v>
      </c>
      <c r="B261" s="15" t="s">
        <v>228</v>
      </c>
      <c r="C261" s="27">
        <v>600</v>
      </c>
      <c r="D261" s="27" t="s">
        <v>13</v>
      </c>
      <c r="E261" s="27" t="s">
        <v>13</v>
      </c>
      <c r="F261" s="27" t="s">
        <v>13</v>
      </c>
      <c r="G261" s="27" t="s">
        <v>13</v>
      </c>
      <c r="H261" s="27" t="s">
        <v>13</v>
      </c>
      <c r="I261" s="27"/>
      <c r="J261" s="27" t="s">
        <v>14</v>
      </c>
      <c r="L261" s="31"/>
      <c r="M261" s="31"/>
      <c r="N261" s="31"/>
      <c r="O261" s="31"/>
      <c r="P261" s="31"/>
      <c r="Q261" s="31"/>
      <c r="R261" s="31"/>
      <c r="S261" s="31"/>
    </row>
    <row r="262" s="1" customFormat="1" ht="15" spans="1:19">
      <c r="A262" s="42"/>
      <c r="B262" s="15" t="s">
        <v>229</v>
      </c>
      <c r="C262" s="27">
        <v>600</v>
      </c>
      <c r="D262" s="27" t="s">
        <v>13</v>
      </c>
      <c r="E262" s="27" t="s">
        <v>13</v>
      </c>
      <c r="F262" s="27" t="s">
        <v>13</v>
      </c>
      <c r="G262" s="27" t="s">
        <v>13</v>
      </c>
      <c r="H262" s="27" t="s">
        <v>13</v>
      </c>
      <c r="I262" s="27"/>
      <c r="J262" s="27" t="s">
        <v>14</v>
      </c>
      <c r="L262" s="31"/>
      <c r="M262" s="31"/>
      <c r="N262" s="31"/>
      <c r="O262" s="31"/>
      <c r="P262" s="31"/>
      <c r="Q262" s="31"/>
      <c r="R262" s="31"/>
      <c r="S262" s="31"/>
    </row>
    <row r="263" s="1" customFormat="1" ht="15" spans="1:19">
      <c r="A263" s="42"/>
      <c r="B263" s="15" t="s">
        <v>230</v>
      </c>
      <c r="C263" s="27">
        <v>700</v>
      </c>
      <c r="D263" s="27"/>
      <c r="E263" s="27" t="s">
        <v>13</v>
      </c>
      <c r="F263" s="27" t="s">
        <v>13</v>
      </c>
      <c r="G263" s="27" t="s">
        <v>13</v>
      </c>
      <c r="H263" s="27" t="s">
        <v>13</v>
      </c>
      <c r="I263" s="27"/>
      <c r="J263" s="27" t="s">
        <v>14</v>
      </c>
      <c r="L263" s="31"/>
      <c r="M263" s="31"/>
      <c r="N263" s="31"/>
      <c r="O263" s="31"/>
      <c r="P263" s="31"/>
      <c r="Q263" s="31"/>
      <c r="R263" s="31"/>
      <c r="S263" s="31"/>
    </row>
    <row r="264" s="1" customFormat="1" ht="15" spans="1:19">
      <c r="A264" s="42"/>
      <c r="B264" s="15" t="s">
        <v>231</v>
      </c>
      <c r="C264" s="27">
        <v>700</v>
      </c>
      <c r="D264" s="27"/>
      <c r="E264" s="27"/>
      <c r="F264" s="27" t="s">
        <v>13</v>
      </c>
      <c r="G264" s="27" t="s">
        <v>13</v>
      </c>
      <c r="H264" s="27" t="s">
        <v>13</v>
      </c>
      <c r="I264" s="27"/>
      <c r="J264" s="27" t="s">
        <v>14</v>
      </c>
      <c r="L264" s="31"/>
      <c r="M264" s="31"/>
      <c r="N264" s="31"/>
      <c r="O264" s="31"/>
      <c r="P264" s="31"/>
      <c r="Q264" s="31"/>
      <c r="R264" s="31"/>
      <c r="S264" s="31"/>
    </row>
    <row r="265" s="1" customFormat="1" ht="15" spans="1:19">
      <c r="A265" s="42"/>
      <c r="B265" s="15" t="s">
        <v>232</v>
      </c>
      <c r="C265" s="27">
        <v>700</v>
      </c>
      <c r="D265" s="27"/>
      <c r="E265" s="27"/>
      <c r="F265" s="27"/>
      <c r="G265" s="27" t="s">
        <v>13</v>
      </c>
      <c r="H265" s="27" t="s">
        <v>13</v>
      </c>
      <c r="I265" s="27"/>
      <c r="J265" s="27" t="s">
        <v>14</v>
      </c>
      <c r="L265" s="31"/>
      <c r="M265" s="31"/>
      <c r="N265" s="31"/>
      <c r="O265" s="31"/>
      <c r="P265" s="31"/>
      <c r="Q265" s="31"/>
      <c r="R265" s="31"/>
      <c r="S265" s="31"/>
    </row>
    <row r="266" s="1" customFormat="1" ht="15" spans="1:19">
      <c r="A266" s="42"/>
      <c r="B266" s="15" t="s">
        <v>233</v>
      </c>
      <c r="C266" s="27">
        <v>800</v>
      </c>
      <c r="D266" s="27"/>
      <c r="E266" s="27"/>
      <c r="F266" s="27"/>
      <c r="G266" s="27" t="s">
        <v>13</v>
      </c>
      <c r="H266" s="27" t="s">
        <v>13</v>
      </c>
      <c r="I266" s="27"/>
      <c r="J266" s="27" t="s">
        <v>14</v>
      </c>
      <c r="L266" s="31"/>
      <c r="M266" s="31"/>
      <c r="N266" s="31"/>
      <c r="O266" s="31"/>
      <c r="P266" s="31"/>
      <c r="Q266" s="31"/>
      <c r="R266" s="31"/>
      <c r="S266" s="31"/>
    </row>
    <row r="267" s="1" customFormat="1" ht="15" spans="1:19">
      <c r="A267" s="42"/>
      <c r="B267" s="15" t="s">
        <v>234</v>
      </c>
      <c r="C267" s="27">
        <v>800</v>
      </c>
      <c r="D267" s="27"/>
      <c r="E267" s="27"/>
      <c r="F267" s="27"/>
      <c r="G267" s="27"/>
      <c r="H267" s="27" t="s">
        <v>13</v>
      </c>
      <c r="I267" s="27"/>
      <c r="J267" s="27" t="s">
        <v>14</v>
      </c>
      <c r="L267" s="31"/>
      <c r="M267" s="31"/>
      <c r="N267" s="31"/>
      <c r="O267" s="31"/>
      <c r="P267" s="31"/>
      <c r="Q267" s="31"/>
      <c r="R267" s="31"/>
      <c r="S267" s="31"/>
    </row>
    <row r="268" s="1" customFormat="1" ht="15" spans="1:19">
      <c r="A268" s="45"/>
      <c r="B268" s="15" t="s">
        <v>235</v>
      </c>
      <c r="C268" s="27">
        <v>800</v>
      </c>
      <c r="D268" s="27"/>
      <c r="E268" s="27"/>
      <c r="F268" s="27"/>
      <c r="G268" s="27"/>
      <c r="H268" s="27" t="s">
        <v>13</v>
      </c>
      <c r="I268" s="27"/>
      <c r="J268" s="27" t="s">
        <v>14</v>
      </c>
      <c r="L268" s="31"/>
      <c r="M268" s="31"/>
      <c r="N268" s="31"/>
      <c r="O268" s="31"/>
      <c r="P268" s="31"/>
      <c r="Q268" s="31"/>
      <c r="R268" s="31"/>
      <c r="S268" s="31"/>
    </row>
    <row r="269" s="1" customFormat="1" ht="15" spans="1:19">
      <c r="A269" s="36"/>
      <c r="B269" s="37" t="s">
        <v>82</v>
      </c>
      <c r="C269" s="38"/>
      <c r="D269" s="27">
        <f>SUMIF(D261:D268,"&lt;&gt;",C261:C268)</f>
        <v>1200</v>
      </c>
      <c r="E269" s="27">
        <f>SUMIF(E261:E268,"&lt;&gt;",C261:C268)</f>
        <v>1900</v>
      </c>
      <c r="F269" s="27">
        <f>SUMIF(F261:F268,"&lt;&gt;",C261:C268)</f>
        <v>2600</v>
      </c>
      <c r="G269" s="27">
        <f>SUMIF(G261:G268,"&lt;&gt;",C261:C268)</f>
        <v>4100</v>
      </c>
      <c r="H269" s="27">
        <f>SUMIF(H261:H268,"&lt;&gt;",C261:C268)</f>
        <v>5700</v>
      </c>
      <c r="I269" s="27"/>
      <c r="J269" s="27"/>
      <c r="L269" s="31"/>
      <c r="M269" s="31"/>
      <c r="N269" s="31"/>
      <c r="O269" s="31"/>
      <c r="P269" s="31"/>
      <c r="Q269" s="31"/>
      <c r="R269" s="31"/>
      <c r="S269" s="31"/>
    </row>
    <row r="270" s="1" customFormat="1" ht="15" spans="1:19">
      <c r="A270" s="43"/>
      <c r="B270" s="44"/>
      <c r="C270" s="44"/>
      <c r="D270" s="44"/>
      <c r="E270" s="44"/>
      <c r="F270" s="44"/>
      <c r="G270" s="44"/>
      <c r="H270" s="44"/>
      <c r="I270" s="44"/>
      <c r="J270" s="44"/>
      <c r="L270" s="31"/>
      <c r="M270" s="31"/>
      <c r="N270" s="31"/>
      <c r="O270" s="31"/>
      <c r="P270" s="31"/>
      <c r="Q270" s="31"/>
      <c r="R270" s="31"/>
      <c r="S270" s="31"/>
    </row>
    <row r="271" s="1" customFormat="1" ht="15" spans="1:19">
      <c r="A271" s="43"/>
      <c r="B271" s="44"/>
      <c r="C271" s="44"/>
      <c r="D271" s="44"/>
      <c r="E271" s="44"/>
      <c r="F271" s="44"/>
      <c r="G271" s="44"/>
      <c r="H271" s="44"/>
      <c r="I271" s="44"/>
      <c r="J271" s="44"/>
      <c r="L271" s="31"/>
      <c r="M271" s="31"/>
      <c r="N271" s="31"/>
      <c r="O271" s="31"/>
      <c r="P271" s="31"/>
      <c r="Q271" s="31"/>
      <c r="R271" s="31"/>
      <c r="S271" s="31"/>
    </row>
    <row r="272" s="1" customFormat="1" ht="31.2" spans="1:19">
      <c r="A272" s="29" t="s">
        <v>1</v>
      </c>
      <c r="B272" s="29" t="s">
        <v>2</v>
      </c>
      <c r="C272" s="29" t="s">
        <v>3</v>
      </c>
      <c r="D272" s="30" t="s">
        <v>4</v>
      </c>
      <c r="E272" s="30" t="s">
        <v>5</v>
      </c>
      <c r="F272" s="30" t="s">
        <v>6</v>
      </c>
      <c r="G272" s="30" t="s">
        <v>7</v>
      </c>
      <c r="H272" s="30" t="s">
        <v>8</v>
      </c>
      <c r="I272" s="30"/>
      <c r="J272" s="30" t="s">
        <v>10</v>
      </c>
      <c r="L272" s="31"/>
      <c r="M272" s="31"/>
      <c r="N272" s="31"/>
      <c r="O272" s="31"/>
      <c r="P272" s="31"/>
      <c r="Q272" s="31"/>
      <c r="R272" s="31"/>
      <c r="S272" s="31"/>
    </row>
    <row r="273" s="1" customFormat="1" ht="15" spans="1:19">
      <c r="A273" s="27" t="s">
        <v>236</v>
      </c>
      <c r="B273" s="15" t="s">
        <v>237</v>
      </c>
      <c r="C273" s="27">
        <v>400</v>
      </c>
      <c r="D273" s="27" t="s">
        <v>13</v>
      </c>
      <c r="E273" s="27" t="s">
        <v>13</v>
      </c>
      <c r="F273" s="27" t="s">
        <v>13</v>
      </c>
      <c r="G273" s="27" t="s">
        <v>13</v>
      </c>
      <c r="H273" s="27" t="s">
        <v>13</v>
      </c>
      <c r="I273" s="27"/>
      <c r="J273" s="27" t="s">
        <v>14</v>
      </c>
      <c r="L273" s="31"/>
      <c r="M273" s="31"/>
      <c r="N273" s="31"/>
      <c r="O273" s="31"/>
      <c r="P273" s="31"/>
      <c r="Q273" s="31"/>
      <c r="R273" s="31"/>
      <c r="S273" s="31"/>
    </row>
    <row r="274" s="1" customFormat="1" ht="15" spans="1:19">
      <c r="A274" s="27"/>
      <c r="B274" s="15" t="s">
        <v>238</v>
      </c>
      <c r="C274" s="27">
        <v>400</v>
      </c>
      <c r="D274" s="27" t="s">
        <v>13</v>
      </c>
      <c r="E274" s="27" t="s">
        <v>13</v>
      </c>
      <c r="F274" s="27" t="s">
        <v>13</v>
      </c>
      <c r="G274" s="27" t="s">
        <v>13</v>
      </c>
      <c r="H274" s="27" t="s">
        <v>13</v>
      </c>
      <c r="I274" s="27"/>
      <c r="J274" s="27" t="s">
        <v>14</v>
      </c>
      <c r="L274" s="31"/>
      <c r="M274" s="31"/>
      <c r="N274" s="31"/>
      <c r="O274" s="31"/>
      <c r="P274" s="31"/>
      <c r="Q274" s="31"/>
      <c r="R274" s="31"/>
      <c r="S274" s="31"/>
    </row>
    <row r="275" s="1" customFormat="1" ht="15" spans="1:19">
      <c r="A275" s="27"/>
      <c r="B275" s="15" t="s">
        <v>239</v>
      </c>
      <c r="C275" s="27">
        <v>400</v>
      </c>
      <c r="D275" s="27" t="s">
        <v>13</v>
      </c>
      <c r="E275" s="27" t="s">
        <v>13</v>
      </c>
      <c r="F275" s="27" t="s">
        <v>13</v>
      </c>
      <c r="G275" s="27" t="s">
        <v>13</v>
      </c>
      <c r="H275" s="27" t="s">
        <v>13</v>
      </c>
      <c r="I275" s="27"/>
      <c r="J275" s="27" t="s">
        <v>14</v>
      </c>
      <c r="L275" s="31"/>
      <c r="M275" s="31"/>
      <c r="N275" s="31"/>
      <c r="O275" s="31"/>
      <c r="P275" s="31"/>
      <c r="Q275" s="31"/>
      <c r="R275" s="31"/>
      <c r="S275" s="31"/>
    </row>
    <row r="276" s="1" customFormat="1" ht="15" spans="1:19">
      <c r="A276" s="27"/>
      <c r="B276" s="15" t="s">
        <v>240</v>
      </c>
      <c r="C276" s="27">
        <v>700</v>
      </c>
      <c r="D276" s="27"/>
      <c r="E276" s="27" t="s">
        <v>13</v>
      </c>
      <c r="F276" s="27" t="s">
        <v>13</v>
      </c>
      <c r="G276" s="27" t="s">
        <v>13</v>
      </c>
      <c r="H276" s="27" t="s">
        <v>13</v>
      </c>
      <c r="I276" s="27"/>
      <c r="J276" s="27" t="s">
        <v>14</v>
      </c>
      <c r="L276" s="31"/>
      <c r="M276" s="31"/>
      <c r="N276" s="31"/>
      <c r="O276" s="31"/>
      <c r="P276" s="31"/>
      <c r="Q276" s="31"/>
      <c r="R276" s="31"/>
      <c r="S276" s="31"/>
    </row>
    <row r="277" s="1" customFormat="1" ht="15" spans="1:19">
      <c r="A277" s="27"/>
      <c r="B277" s="15" t="s">
        <v>241</v>
      </c>
      <c r="C277" s="27">
        <v>700</v>
      </c>
      <c r="D277" s="27"/>
      <c r="E277" s="27"/>
      <c r="F277" s="27" t="s">
        <v>13</v>
      </c>
      <c r="G277" s="27" t="s">
        <v>13</v>
      </c>
      <c r="H277" s="27" t="s">
        <v>13</v>
      </c>
      <c r="I277" s="27"/>
      <c r="J277" s="27" t="s">
        <v>14</v>
      </c>
      <c r="L277" s="31"/>
      <c r="M277" s="31"/>
      <c r="N277" s="31"/>
      <c r="O277" s="31"/>
      <c r="P277" s="31"/>
      <c r="Q277" s="31"/>
      <c r="R277" s="31"/>
      <c r="S277" s="31"/>
    </row>
    <row r="278" s="1" customFormat="1" ht="15" spans="1:19">
      <c r="A278" s="27"/>
      <c r="B278" s="15" t="s">
        <v>242</v>
      </c>
      <c r="C278" s="27">
        <v>1500</v>
      </c>
      <c r="D278" s="27"/>
      <c r="E278" s="27"/>
      <c r="F278" s="27"/>
      <c r="G278" s="27" t="s">
        <v>13</v>
      </c>
      <c r="H278" s="27" t="s">
        <v>13</v>
      </c>
      <c r="I278" s="27"/>
      <c r="J278" s="27" t="s">
        <v>14</v>
      </c>
      <c r="L278" s="31"/>
      <c r="M278" s="31"/>
      <c r="N278" s="31"/>
      <c r="O278" s="31"/>
      <c r="P278" s="31"/>
      <c r="Q278" s="31"/>
      <c r="R278" s="31"/>
      <c r="S278" s="31"/>
    </row>
    <row r="279" s="1" customFormat="1" ht="15" spans="1:19">
      <c r="A279" s="27"/>
      <c r="B279" s="15" t="s">
        <v>243</v>
      </c>
      <c r="C279" s="27">
        <v>1600</v>
      </c>
      <c r="D279" s="27"/>
      <c r="E279" s="27"/>
      <c r="F279" s="27"/>
      <c r="G279" s="27"/>
      <c r="H279" s="27" t="s">
        <v>13</v>
      </c>
      <c r="I279" s="27"/>
      <c r="J279" s="27" t="s">
        <v>14</v>
      </c>
      <c r="L279" s="31"/>
      <c r="M279" s="31"/>
      <c r="N279" s="31"/>
      <c r="O279" s="31"/>
      <c r="P279" s="31"/>
      <c r="Q279" s="31"/>
      <c r="R279" s="31"/>
      <c r="S279" s="31"/>
    </row>
    <row r="280" s="1" customFormat="1" ht="15" spans="1:19">
      <c r="A280" s="36"/>
      <c r="B280" s="37" t="s">
        <v>236</v>
      </c>
      <c r="C280" s="38"/>
      <c r="D280" s="27">
        <f>SUMIF(D273:D279,"&lt;&gt;",C273:C279)</f>
        <v>1200</v>
      </c>
      <c r="E280" s="27">
        <f>SUMIF(E273:E279,"&lt;&gt;",C273:C279)</f>
        <v>1900</v>
      </c>
      <c r="F280" s="27">
        <f>SUMIF(F273:F279,"&lt;&gt;",C273:C279)</f>
        <v>2600</v>
      </c>
      <c r="G280" s="27">
        <f>SUMIF(G273:G279,"&lt;&gt;",C273:C279)</f>
        <v>4100</v>
      </c>
      <c r="H280" s="27">
        <f>SUMIF(H273:H279,"&lt;&gt;",C273:C279)</f>
        <v>5700</v>
      </c>
      <c r="I280" s="27"/>
      <c r="J280" s="27"/>
      <c r="L280" s="31"/>
      <c r="M280" s="31"/>
      <c r="N280" s="31"/>
      <c r="O280" s="31"/>
      <c r="P280" s="31"/>
      <c r="Q280" s="31"/>
      <c r="R280" s="31"/>
      <c r="S280" s="31"/>
    </row>
    <row r="281" s="1" customFormat="1" ht="15.6" spans="1:19">
      <c r="A281" s="2"/>
      <c r="B281" s="2"/>
      <c r="C281" s="2"/>
      <c r="D281" s="39"/>
      <c r="E281" s="39"/>
      <c r="F281" s="39"/>
      <c r="G281" s="39"/>
      <c r="H281" s="39"/>
      <c r="I281" s="39"/>
      <c r="J281" s="39"/>
      <c r="L281" s="31"/>
      <c r="M281" s="31"/>
      <c r="N281" s="31"/>
      <c r="O281" s="31"/>
      <c r="P281" s="31"/>
      <c r="Q281" s="31"/>
      <c r="R281" s="31"/>
      <c r="S281" s="31"/>
    </row>
    <row r="282" s="1" customFormat="1" ht="31.2" spans="1:19">
      <c r="A282" s="29" t="s">
        <v>1</v>
      </c>
      <c r="B282" s="29" t="s">
        <v>2</v>
      </c>
      <c r="C282" s="29" t="s">
        <v>3</v>
      </c>
      <c r="D282" s="30" t="s">
        <v>4</v>
      </c>
      <c r="E282" s="30" t="s">
        <v>5</v>
      </c>
      <c r="F282" s="30" t="s">
        <v>6</v>
      </c>
      <c r="G282" s="30" t="s">
        <v>7</v>
      </c>
      <c r="H282" s="30" t="s">
        <v>8</v>
      </c>
      <c r="I282" s="30" t="s">
        <v>9</v>
      </c>
      <c r="J282" s="30" t="s">
        <v>10</v>
      </c>
      <c r="L282" s="31"/>
      <c r="M282" s="31"/>
      <c r="N282" s="31"/>
      <c r="O282" s="31"/>
      <c r="P282" s="31"/>
      <c r="Q282" s="31"/>
      <c r="R282" s="31"/>
      <c r="S282" s="31"/>
    </row>
    <row r="283" s="1" customFormat="1" ht="15" spans="1:19">
      <c r="A283" s="27" t="s">
        <v>244</v>
      </c>
      <c r="B283" s="15" t="s">
        <v>245</v>
      </c>
      <c r="C283" s="27">
        <v>600</v>
      </c>
      <c r="D283" s="27" t="s">
        <v>13</v>
      </c>
      <c r="E283" s="27" t="s">
        <v>13</v>
      </c>
      <c r="F283" s="27" t="s">
        <v>13</v>
      </c>
      <c r="G283" s="27" t="s">
        <v>13</v>
      </c>
      <c r="H283" s="27"/>
      <c r="I283" s="27"/>
      <c r="J283" s="27" t="s">
        <v>14</v>
      </c>
      <c r="L283" s="31"/>
      <c r="M283" s="31"/>
      <c r="N283" s="31"/>
      <c r="O283" s="31"/>
      <c r="P283" s="31"/>
      <c r="Q283" s="31"/>
      <c r="R283" s="31"/>
      <c r="S283" s="31"/>
    </row>
    <row r="284" s="1" customFormat="1" ht="15" spans="1:19">
      <c r="A284" s="27"/>
      <c r="B284" s="15" t="s">
        <v>246</v>
      </c>
      <c r="C284" s="27">
        <v>600</v>
      </c>
      <c r="D284" s="27" t="s">
        <v>13</v>
      </c>
      <c r="E284" s="27" t="s">
        <v>13</v>
      </c>
      <c r="F284" s="27" t="s">
        <v>13</v>
      </c>
      <c r="G284" s="27" t="s">
        <v>13</v>
      </c>
      <c r="H284" s="27"/>
      <c r="I284" s="27"/>
      <c r="J284" s="27" t="s">
        <v>14</v>
      </c>
      <c r="L284" s="31"/>
      <c r="M284" s="31"/>
      <c r="N284" s="31"/>
      <c r="O284" s="31"/>
      <c r="P284" s="31"/>
      <c r="Q284" s="31"/>
      <c r="R284" s="31"/>
      <c r="S284" s="31"/>
    </row>
    <row r="285" s="1" customFormat="1" ht="15" spans="1:19">
      <c r="A285" s="27"/>
      <c r="B285" s="15" t="s">
        <v>247</v>
      </c>
      <c r="C285" s="27">
        <v>700</v>
      </c>
      <c r="D285" s="27"/>
      <c r="E285" s="27" t="s">
        <v>13</v>
      </c>
      <c r="F285" s="27" t="s">
        <v>13</v>
      </c>
      <c r="G285" s="27" t="s">
        <v>13</v>
      </c>
      <c r="H285" s="27"/>
      <c r="I285" s="27"/>
      <c r="J285" s="27" t="s">
        <v>14</v>
      </c>
      <c r="L285" s="31"/>
      <c r="M285" s="31"/>
      <c r="N285" s="31"/>
      <c r="O285" s="31"/>
      <c r="P285" s="31"/>
      <c r="Q285" s="31"/>
      <c r="R285" s="31"/>
      <c r="S285" s="31"/>
    </row>
    <row r="286" s="1" customFormat="1" ht="15" spans="1:19">
      <c r="A286" s="27"/>
      <c r="B286" s="15" t="s">
        <v>248</v>
      </c>
      <c r="C286" s="27">
        <v>700</v>
      </c>
      <c r="D286" s="27"/>
      <c r="E286" s="27"/>
      <c r="F286" s="27" t="s">
        <v>13</v>
      </c>
      <c r="G286" s="27" t="s">
        <v>13</v>
      </c>
      <c r="H286" s="27"/>
      <c r="I286" s="27"/>
      <c r="J286" s="27" t="s">
        <v>14</v>
      </c>
      <c r="L286" s="31"/>
      <c r="M286" s="31"/>
      <c r="N286" s="31"/>
      <c r="O286" s="31"/>
      <c r="P286" s="31"/>
      <c r="Q286" s="31"/>
      <c r="R286" s="31"/>
      <c r="S286" s="31"/>
    </row>
    <row r="287" s="1" customFormat="1" ht="15" spans="1:19">
      <c r="A287" s="27"/>
      <c r="B287" s="15" t="s">
        <v>249</v>
      </c>
      <c r="C287" s="27">
        <v>1500</v>
      </c>
      <c r="D287" s="27"/>
      <c r="E287" s="27"/>
      <c r="F287" s="27"/>
      <c r="G287" s="27" t="s">
        <v>13</v>
      </c>
      <c r="H287" s="27"/>
      <c r="I287" s="27"/>
      <c r="J287" s="27" t="s">
        <v>14</v>
      </c>
      <c r="L287" s="31"/>
      <c r="M287" s="31"/>
      <c r="N287" s="31"/>
      <c r="O287" s="31"/>
      <c r="P287" s="31"/>
      <c r="Q287" s="31"/>
      <c r="R287" s="31"/>
      <c r="S287" s="31"/>
    </row>
    <row r="288" s="1" customFormat="1" ht="15" spans="1:19">
      <c r="A288" s="36"/>
      <c r="B288" s="37" t="s">
        <v>244</v>
      </c>
      <c r="C288" s="38"/>
      <c r="D288" s="27">
        <f>SUMIF(D283:D287,"&lt;&gt;",C283:C287)</f>
        <v>1200</v>
      </c>
      <c r="E288" s="27">
        <f>SUMIF(E283:E287,"&lt;&gt;",C283:C287)</f>
        <v>1900</v>
      </c>
      <c r="F288" s="27">
        <f>SUMIF(F283:F287,"&lt;&gt;",C283:C287)</f>
        <v>2600</v>
      </c>
      <c r="G288" s="27">
        <f>SUMIF(G283:G287,"&lt;&gt;",C283:C287)</f>
        <v>4100</v>
      </c>
      <c r="H288" s="27"/>
      <c r="I288" s="27"/>
      <c r="J288" s="27"/>
      <c r="L288" s="31"/>
      <c r="M288" s="31"/>
      <c r="N288" s="31"/>
      <c r="O288" s="31"/>
      <c r="P288" s="31"/>
      <c r="Q288" s="31"/>
      <c r="R288" s="31"/>
      <c r="S288" s="31"/>
    </row>
    <row r="289" s="1" customFormat="1" ht="15.6" spans="1:19">
      <c r="A289" s="2"/>
      <c r="B289" s="2"/>
      <c r="C289" s="2"/>
      <c r="D289" s="39"/>
      <c r="E289" s="39"/>
      <c r="F289" s="39"/>
      <c r="G289" s="39"/>
      <c r="H289" s="39"/>
      <c r="I289" s="39"/>
      <c r="J289" s="39"/>
      <c r="L289" s="31"/>
      <c r="M289" s="31"/>
      <c r="N289" s="31"/>
      <c r="O289" s="31"/>
      <c r="P289" s="31"/>
      <c r="Q289" s="31"/>
      <c r="R289" s="31"/>
      <c r="S289" s="31"/>
    </row>
    <row r="290" s="1" customFormat="1" ht="31.2" spans="1:19">
      <c r="A290" s="29" t="s">
        <v>1</v>
      </c>
      <c r="B290" s="29" t="s">
        <v>2</v>
      </c>
      <c r="C290" s="29" t="s">
        <v>3</v>
      </c>
      <c r="D290" s="30" t="s">
        <v>4</v>
      </c>
      <c r="E290" s="30" t="s">
        <v>5</v>
      </c>
      <c r="F290" s="30" t="s">
        <v>6</v>
      </c>
      <c r="G290" s="30" t="s">
        <v>7</v>
      </c>
      <c r="H290" s="30" t="s">
        <v>8</v>
      </c>
      <c r="I290" s="30" t="s">
        <v>9</v>
      </c>
      <c r="J290" s="30" t="s">
        <v>10</v>
      </c>
      <c r="L290" s="31"/>
      <c r="M290" s="31"/>
      <c r="N290" s="31"/>
      <c r="O290" s="31"/>
      <c r="P290" s="31"/>
      <c r="Q290" s="31"/>
      <c r="R290" s="31"/>
      <c r="S290" s="31"/>
    </row>
    <row r="291" s="1" customFormat="1" ht="15" spans="1:19">
      <c r="A291" s="40" t="s">
        <v>250</v>
      </c>
      <c r="B291" s="50" t="s">
        <v>251</v>
      </c>
      <c r="C291" s="27">
        <v>600</v>
      </c>
      <c r="D291" s="27" t="s">
        <v>13</v>
      </c>
      <c r="E291" s="27" t="s">
        <v>13</v>
      </c>
      <c r="F291" s="27" t="s">
        <v>13</v>
      </c>
      <c r="G291" s="27" t="s">
        <v>13</v>
      </c>
      <c r="H291" s="27"/>
      <c r="I291" s="27"/>
      <c r="J291" s="27" t="s">
        <v>14</v>
      </c>
      <c r="L291" s="31"/>
      <c r="M291" s="31"/>
      <c r="N291" s="31"/>
      <c r="O291" s="31"/>
      <c r="P291" s="31"/>
      <c r="Q291" s="31"/>
      <c r="R291" s="31"/>
      <c r="S291" s="31"/>
    </row>
    <row r="292" s="1" customFormat="1" ht="15" spans="1:19">
      <c r="A292" s="42"/>
      <c r="B292" s="50" t="s">
        <v>252</v>
      </c>
      <c r="C292" s="27">
        <v>600</v>
      </c>
      <c r="D292" s="27" t="s">
        <v>13</v>
      </c>
      <c r="E292" s="27" t="s">
        <v>13</v>
      </c>
      <c r="F292" s="27" t="s">
        <v>13</v>
      </c>
      <c r="G292" s="27" t="s">
        <v>13</v>
      </c>
      <c r="H292" s="27"/>
      <c r="I292" s="27"/>
      <c r="J292" s="27" t="s">
        <v>14</v>
      </c>
      <c r="L292" s="31"/>
      <c r="M292" s="31"/>
      <c r="N292" s="31"/>
      <c r="O292" s="31"/>
      <c r="P292" s="31"/>
      <c r="Q292" s="31"/>
      <c r="R292" s="31"/>
      <c r="S292" s="31"/>
    </row>
    <row r="293" s="1" customFormat="1" ht="15" spans="1:19">
      <c r="A293" s="42"/>
      <c r="B293" s="50" t="s">
        <v>253</v>
      </c>
      <c r="C293" s="27">
        <v>700</v>
      </c>
      <c r="D293" s="27"/>
      <c r="E293" s="27" t="s">
        <v>13</v>
      </c>
      <c r="F293" s="27" t="s">
        <v>13</v>
      </c>
      <c r="G293" s="27" t="s">
        <v>13</v>
      </c>
      <c r="H293" s="27"/>
      <c r="I293" s="27"/>
      <c r="J293" s="27" t="s">
        <v>14</v>
      </c>
      <c r="L293" s="31"/>
      <c r="M293" s="31"/>
      <c r="N293" s="31"/>
      <c r="O293" s="31"/>
      <c r="P293" s="31"/>
      <c r="Q293" s="31"/>
      <c r="R293" s="31"/>
      <c r="S293" s="31"/>
    </row>
    <row r="294" s="1" customFormat="1" ht="15" spans="1:19">
      <c r="A294" s="42"/>
      <c r="B294" s="50" t="s">
        <v>254</v>
      </c>
      <c r="C294" s="27">
        <v>700</v>
      </c>
      <c r="D294" s="27"/>
      <c r="E294" s="27"/>
      <c r="F294" s="27" t="s">
        <v>13</v>
      </c>
      <c r="G294" s="27" t="s">
        <v>13</v>
      </c>
      <c r="H294" s="27"/>
      <c r="I294" s="27"/>
      <c r="J294" s="27" t="s">
        <v>14</v>
      </c>
      <c r="L294" s="31"/>
      <c r="M294" s="31"/>
      <c r="N294" s="31"/>
      <c r="O294" s="31"/>
      <c r="P294" s="31"/>
      <c r="Q294" s="31"/>
      <c r="R294" s="31"/>
      <c r="S294" s="31"/>
    </row>
    <row r="295" s="1" customFormat="1" ht="15" spans="1:19">
      <c r="A295" s="42"/>
      <c r="B295" s="50" t="s">
        <v>255</v>
      </c>
      <c r="C295" s="27">
        <v>700</v>
      </c>
      <c r="D295" s="27"/>
      <c r="E295" s="27"/>
      <c r="F295" s="27"/>
      <c r="G295" s="27" t="s">
        <v>13</v>
      </c>
      <c r="H295" s="27"/>
      <c r="I295" s="27"/>
      <c r="J295" s="27" t="s">
        <v>14</v>
      </c>
      <c r="L295" s="31"/>
      <c r="M295" s="31"/>
      <c r="N295" s="31"/>
      <c r="O295" s="31"/>
      <c r="P295" s="31"/>
      <c r="Q295" s="31"/>
      <c r="R295" s="31"/>
      <c r="S295" s="31"/>
    </row>
    <row r="296" s="1" customFormat="1" ht="15" spans="1:19">
      <c r="A296" s="45"/>
      <c r="B296" s="50" t="s">
        <v>256</v>
      </c>
      <c r="C296" s="27">
        <v>800</v>
      </c>
      <c r="D296" s="27"/>
      <c r="E296" s="27"/>
      <c r="F296" s="27"/>
      <c r="G296" s="27" t="s">
        <v>13</v>
      </c>
      <c r="H296" s="27"/>
      <c r="I296" s="27"/>
      <c r="J296" s="27" t="s">
        <v>14</v>
      </c>
      <c r="L296" s="31"/>
      <c r="M296" s="31"/>
      <c r="N296" s="31"/>
      <c r="O296" s="31"/>
      <c r="P296" s="31"/>
      <c r="Q296" s="31"/>
      <c r="R296" s="31"/>
      <c r="S296" s="31"/>
    </row>
    <row r="297" s="1" customFormat="1" ht="15" spans="1:19">
      <c r="A297" s="36"/>
      <c r="B297" s="37" t="s">
        <v>250</v>
      </c>
      <c r="C297" s="38"/>
      <c r="D297" s="27">
        <f>SUMIF(D291:D296,"&lt;&gt;",C291:C296)</f>
        <v>1200</v>
      </c>
      <c r="E297" s="27">
        <f>SUMIF(E291:E296,"&lt;&gt;",C291:C296)</f>
        <v>1900</v>
      </c>
      <c r="F297" s="27">
        <f>SUMIF(F291:F296,"&lt;&gt;",C291:C296)</f>
        <v>2600</v>
      </c>
      <c r="G297" s="27">
        <f>SUMIF(G291:G296,"&lt;&gt;",C291:C296)</f>
        <v>4100</v>
      </c>
      <c r="H297" s="27"/>
      <c r="I297" s="27"/>
      <c r="J297" s="27"/>
      <c r="L297" s="31"/>
      <c r="M297" s="31"/>
      <c r="N297" s="31"/>
      <c r="O297" s="31"/>
      <c r="P297" s="31"/>
      <c r="Q297" s="31"/>
      <c r="R297" s="31"/>
      <c r="S297" s="31"/>
    </row>
    <row r="298" s="1" customFormat="1" ht="15.6" spans="1:19">
      <c r="A298" s="2"/>
      <c r="B298" s="2"/>
      <c r="C298" s="2"/>
      <c r="D298" s="39"/>
      <c r="E298" s="39"/>
      <c r="F298" s="39"/>
      <c r="G298" s="39"/>
      <c r="H298" s="39"/>
      <c r="I298" s="39"/>
      <c r="J298" s="39"/>
      <c r="L298" s="31"/>
      <c r="M298" s="31"/>
      <c r="N298" s="31"/>
      <c r="O298" s="31"/>
      <c r="P298" s="31"/>
      <c r="Q298" s="31"/>
      <c r="R298" s="31"/>
      <c r="S298" s="31"/>
    </row>
    <row r="299" s="1" customFormat="1" ht="31.2" spans="1:19">
      <c r="A299" s="29" t="s">
        <v>1</v>
      </c>
      <c r="B299" s="29" t="s">
        <v>2</v>
      </c>
      <c r="C299" s="29" t="s">
        <v>3</v>
      </c>
      <c r="D299" s="30" t="s">
        <v>4</v>
      </c>
      <c r="E299" s="30" t="s">
        <v>6</v>
      </c>
      <c r="F299" s="30" t="s">
        <v>7</v>
      </c>
      <c r="G299" s="30" t="s">
        <v>8</v>
      </c>
      <c r="H299" s="30" t="s">
        <v>9</v>
      </c>
      <c r="I299" s="30" t="s">
        <v>10</v>
      </c>
      <c r="J299" s="39"/>
      <c r="L299" s="31"/>
      <c r="M299" s="31"/>
      <c r="N299" s="31"/>
      <c r="O299" s="31"/>
      <c r="P299" s="31"/>
      <c r="Q299" s="31"/>
      <c r="R299" s="31"/>
      <c r="S299" s="31"/>
    </row>
    <row r="300" s="1" customFormat="1" ht="15.6" spans="1:19">
      <c r="A300" s="27" t="s">
        <v>71</v>
      </c>
      <c r="B300" s="15" t="s">
        <v>257</v>
      </c>
      <c r="C300" s="27">
        <v>150</v>
      </c>
      <c r="D300" s="27" t="s">
        <v>13</v>
      </c>
      <c r="E300" s="27" t="s">
        <v>13</v>
      </c>
      <c r="F300" s="27" t="s">
        <v>13</v>
      </c>
      <c r="G300" s="27"/>
      <c r="H300" s="27"/>
      <c r="I300" s="27" t="s">
        <v>14</v>
      </c>
      <c r="J300" s="39"/>
      <c r="L300" s="31"/>
      <c r="M300" s="31"/>
      <c r="N300" s="31"/>
      <c r="O300" s="31"/>
      <c r="P300" s="31"/>
      <c r="Q300" s="31"/>
      <c r="R300" s="31"/>
      <c r="S300" s="31"/>
    </row>
    <row r="301" s="1" customFormat="1" ht="15.6" spans="1:19">
      <c r="A301" s="27"/>
      <c r="B301" s="15" t="s">
        <v>258</v>
      </c>
      <c r="C301" s="27">
        <v>150</v>
      </c>
      <c r="D301" s="27" t="s">
        <v>13</v>
      </c>
      <c r="E301" s="27" t="s">
        <v>13</v>
      </c>
      <c r="F301" s="27" t="s">
        <v>13</v>
      </c>
      <c r="G301" s="27"/>
      <c r="H301" s="27"/>
      <c r="I301" s="27" t="s">
        <v>14</v>
      </c>
      <c r="J301" s="39"/>
      <c r="L301" s="31"/>
      <c r="M301" s="31"/>
      <c r="N301" s="31"/>
      <c r="O301" s="31"/>
      <c r="P301" s="31"/>
      <c r="Q301" s="31"/>
      <c r="R301" s="31"/>
      <c r="S301" s="31"/>
    </row>
    <row r="302" s="1" customFormat="1" ht="15.6" spans="1:19">
      <c r="A302" s="27"/>
      <c r="B302" s="15" t="s">
        <v>259</v>
      </c>
      <c r="C302" s="27">
        <v>300</v>
      </c>
      <c r="D302" s="27"/>
      <c r="E302" s="27" t="s">
        <v>13</v>
      </c>
      <c r="F302" s="27" t="s">
        <v>13</v>
      </c>
      <c r="G302" s="27"/>
      <c r="H302" s="27"/>
      <c r="I302" s="27" t="s">
        <v>14</v>
      </c>
      <c r="J302" s="39"/>
      <c r="L302" s="31"/>
      <c r="M302" s="31"/>
      <c r="N302" s="31"/>
      <c r="O302" s="31"/>
      <c r="P302" s="31"/>
      <c r="Q302" s="31"/>
      <c r="R302" s="31"/>
      <c r="S302" s="31"/>
    </row>
    <row r="303" s="1" customFormat="1" ht="15.6" spans="1:19">
      <c r="A303" s="27"/>
      <c r="B303" s="15" t="s">
        <v>260</v>
      </c>
      <c r="C303" s="27">
        <v>400</v>
      </c>
      <c r="D303" s="27"/>
      <c r="E303" s="27" t="s">
        <v>13</v>
      </c>
      <c r="F303" s="27" t="s">
        <v>13</v>
      </c>
      <c r="G303" s="27"/>
      <c r="H303" s="27"/>
      <c r="I303" s="27" t="s">
        <v>14</v>
      </c>
      <c r="J303" s="39"/>
      <c r="L303" s="31"/>
      <c r="M303" s="31"/>
      <c r="N303" s="31"/>
      <c r="O303" s="31"/>
      <c r="P303" s="31"/>
      <c r="Q303" s="31"/>
      <c r="R303" s="31"/>
      <c r="S303" s="31"/>
    </row>
    <row r="304" s="1" customFormat="1" ht="15.6" spans="1:19">
      <c r="A304" s="27"/>
      <c r="B304" s="15" t="s">
        <v>261</v>
      </c>
      <c r="C304" s="27">
        <v>700</v>
      </c>
      <c r="D304" s="27"/>
      <c r="E304" s="27"/>
      <c r="F304" s="27" t="s">
        <v>13</v>
      </c>
      <c r="G304" s="27"/>
      <c r="H304" s="27"/>
      <c r="I304" s="27" t="s">
        <v>14</v>
      </c>
      <c r="J304" s="39"/>
      <c r="L304" s="31"/>
      <c r="M304" s="31"/>
      <c r="N304" s="31"/>
      <c r="O304" s="31"/>
      <c r="P304" s="31"/>
      <c r="Q304" s="31"/>
      <c r="R304" s="31"/>
      <c r="S304" s="31"/>
    </row>
    <row r="305" s="1" customFormat="1" ht="15.6" spans="1:19">
      <c r="A305" s="27"/>
      <c r="B305" s="15" t="s">
        <v>262</v>
      </c>
      <c r="C305" s="27">
        <v>1000</v>
      </c>
      <c r="D305" s="27"/>
      <c r="E305" s="27"/>
      <c r="F305" s="27" t="s">
        <v>13</v>
      </c>
      <c r="G305" s="27"/>
      <c r="H305" s="27"/>
      <c r="I305" s="27" t="s">
        <v>14</v>
      </c>
      <c r="J305" s="39"/>
      <c r="L305" s="31"/>
      <c r="M305" s="31"/>
      <c r="N305" s="31"/>
      <c r="O305" s="31"/>
      <c r="P305" s="31"/>
      <c r="Q305" s="31"/>
      <c r="R305" s="31"/>
      <c r="S305" s="31"/>
    </row>
    <row r="306" s="1" customFormat="1" ht="15.6" spans="1:19">
      <c r="A306" s="36"/>
      <c r="B306" s="37" t="s">
        <v>71</v>
      </c>
      <c r="C306" s="38"/>
      <c r="D306" s="27">
        <f>SUMIF(D300:D305,"&lt;&gt;",C300:C305)</f>
        <v>300</v>
      </c>
      <c r="E306" s="27">
        <f>SUMIF(E300:E305,"&lt;&gt;",C300:C305)</f>
        <v>1000</v>
      </c>
      <c r="F306" s="27">
        <f>SUMIF(F300:F305,"&lt;&gt;",C300:C305)</f>
        <v>2700</v>
      </c>
      <c r="G306" s="27"/>
      <c r="H306" s="27"/>
      <c r="I306" s="27"/>
      <c r="J306" s="39"/>
      <c r="L306" s="31"/>
      <c r="M306" s="31"/>
      <c r="N306" s="31"/>
      <c r="O306" s="31"/>
      <c r="P306" s="31"/>
      <c r="Q306" s="31"/>
      <c r="R306" s="31"/>
      <c r="S306" s="31"/>
    </row>
    <row r="308" spans="1:19">
      <c r="A308" t="s">
        <v>263</v>
      </c>
    </row>
    <row r="309" s="3" customFormat="1" ht="20.45" customHeight="1" spans="1:19">
      <c r="A309" s="29" t="s">
        <v>1</v>
      </c>
      <c r="B309" s="29" t="s">
        <v>2</v>
      </c>
      <c r="C309" s="29" t="s">
        <v>3</v>
      </c>
      <c r="D309" s="29" t="s">
        <v>4</v>
      </c>
      <c r="E309" s="29" t="s">
        <v>6</v>
      </c>
      <c r="F309" s="29" t="s">
        <v>7</v>
      </c>
      <c r="G309" s="29" t="s">
        <v>8</v>
      </c>
      <c r="H309" s="29" t="s">
        <v>9</v>
      </c>
      <c r="I309" s="30" t="s">
        <v>10</v>
      </c>
    </row>
    <row r="310" s="3" customFormat="1" ht="17.1" customHeight="1" spans="1:19">
      <c r="A310" s="27" t="s">
        <v>82</v>
      </c>
      <c r="B310" s="15" t="s">
        <v>264</v>
      </c>
      <c r="C310" s="27">
        <v>600</v>
      </c>
      <c r="D310" s="27" t="s">
        <v>13</v>
      </c>
      <c r="E310" s="27" t="s">
        <v>13</v>
      </c>
      <c r="F310" s="27" t="s">
        <v>13</v>
      </c>
      <c r="G310" s="27" t="s">
        <v>13</v>
      </c>
      <c r="H310" s="27" t="s">
        <v>13</v>
      </c>
      <c r="I310" s="51"/>
    </row>
    <row r="311" s="3" customFormat="1" ht="17.1" customHeight="1" spans="1:19">
      <c r="A311" s="27"/>
      <c r="B311" s="15" t="s">
        <v>265</v>
      </c>
      <c r="C311" s="27">
        <v>600</v>
      </c>
      <c r="D311" s="27" t="s">
        <v>13</v>
      </c>
      <c r="E311" s="27" t="s">
        <v>13</v>
      </c>
      <c r="F311" s="27" t="s">
        <v>13</v>
      </c>
      <c r="G311" s="27" t="s">
        <v>13</v>
      </c>
      <c r="H311" s="27" t="s">
        <v>13</v>
      </c>
      <c r="I311" s="51"/>
    </row>
    <row r="312" s="3" customFormat="1" ht="17.1" customHeight="1" spans="1:19">
      <c r="A312" s="27"/>
      <c r="B312" s="15" t="s">
        <v>266</v>
      </c>
      <c r="C312" s="27">
        <v>700</v>
      </c>
      <c r="D312" s="27"/>
      <c r="E312" s="27" t="s">
        <v>13</v>
      </c>
      <c r="F312" s="27" t="s">
        <v>13</v>
      </c>
      <c r="G312" s="27" t="s">
        <v>13</v>
      </c>
      <c r="H312" s="27" t="s">
        <v>13</v>
      </c>
      <c r="I312" s="51"/>
    </row>
    <row r="313" s="3" customFormat="1" ht="17.1" customHeight="1" spans="1:19">
      <c r="A313" s="27"/>
      <c r="B313" s="15" t="s">
        <v>267</v>
      </c>
      <c r="C313" s="27">
        <v>700</v>
      </c>
      <c r="D313" s="27"/>
      <c r="E313" s="27" t="s">
        <v>13</v>
      </c>
      <c r="F313" s="27" t="s">
        <v>13</v>
      </c>
      <c r="G313" s="27" t="s">
        <v>13</v>
      </c>
      <c r="H313" s="27" t="s">
        <v>13</v>
      </c>
      <c r="I313" s="51"/>
    </row>
    <row r="314" s="3" customFormat="1" ht="17.1" customHeight="1" spans="1:19">
      <c r="A314" s="27"/>
      <c r="B314" s="15" t="s">
        <v>268</v>
      </c>
      <c r="C314" s="27">
        <v>1500</v>
      </c>
      <c r="D314" s="27"/>
      <c r="E314" s="27"/>
      <c r="F314" s="27" t="s">
        <v>13</v>
      </c>
      <c r="G314" s="27" t="s">
        <v>13</v>
      </c>
      <c r="H314" s="27" t="s">
        <v>13</v>
      </c>
      <c r="I314" s="51"/>
    </row>
    <row r="315" s="3" customFormat="1" ht="17.1" customHeight="1" spans="1:19">
      <c r="A315" s="27"/>
      <c r="B315" s="15" t="s">
        <v>269</v>
      </c>
      <c r="C315" s="27">
        <v>800</v>
      </c>
      <c r="D315" s="27"/>
      <c r="E315" s="27"/>
      <c r="F315" s="27"/>
      <c r="G315" s="27" t="s">
        <v>13</v>
      </c>
      <c r="H315" s="27" t="s">
        <v>13</v>
      </c>
      <c r="I315" s="51"/>
    </row>
    <row r="316" s="3" customFormat="1" ht="17.1" customHeight="1" spans="1:19">
      <c r="A316" s="27"/>
      <c r="B316" s="15" t="s">
        <v>270</v>
      </c>
      <c r="C316" s="27">
        <v>800</v>
      </c>
      <c r="D316" s="27"/>
      <c r="E316" s="27"/>
      <c r="F316" s="27"/>
      <c r="G316" s="27" t="s">
        <v>13</v>
      </c>
      <c r="H316" s="27" t="s">
        <v>13</v>
      </c>
      <c r="I316" s="51"/>
    </row>
    <row r="317" s="3" customFormat="1" ht="17.1" customHeight="1" spans="1:19">
      <c r="A317" s="27"/>
      <c r="B317" s="15" t="s">
        <v>271</v>
      </c>
      <c r="C317" s="27">
        <v>1000</v>
      </c>
      <c r="D317" s="27"/>
      <c r="E317" s="27"/>
      <c r="F317" s="27"/>
      <c r="G317" s="27"/>
      <c r="H317" s="27" t="s">
        <v>13</v>
      </c>
      <c r="I317" s="51"/>
    </row>
    <row r="318" s="3" customFormat="1" ht="17.1" customHeight="1" spans="1:19">
      <c r="A318" s="27"/>
      <c r="B318" s="15" t="s">
        <v>272</v>
      </c>
      <c r="C318" s="27">
        <v>1000</v>
      </c>
      <c r="D318" s="27"/>
      <c r="E318" s="27"/>
      <c r="F318" s="27"/>
      <c r="G318" s="27"/>
      <c r="H318" s="27" t="s">
        <v>13</v>
      </c>
      <c r="I318" s="51"/>
      <c r="J318" s="52"/>
    </row>
    <row r="319" s="3" customFormat="1" ht="17.1" customHeight="1" spans="1:19">
      <c r="A319" s="27"/>
      <c r="B319" s="15" t="s">
        <v>273</v>
      </c>
      <c r="C319" s="27">
        <v>1000</v>
      </c>
      <c r="D319" s="27"/>
      <c r="E319" s="27"/>
      <c r="F319" s="27"/>
      <c r="G319" s="27"/>
      <c r="H319" s="27" t="s">
        <v>13</v>
      </c>
      <c r="I319" s="51"/>
      <c r="J319" s="52"/>
    </row>
    <row r="320" s="3" customFormat="1" ht="15" spans="1:19">
      <c r="A320" s="36"/>
      <c r="B320" s="37" t="s">
        <v>82</v>
      </c>
      <c r="C320" s="37"/>
      <c r="D320" s="27">
        <f>SUMIF(D310:D319,"&lt;&gt;",C310:C319)</f>
        <v>1200</v>
      </c>
      <c r="E320" s="27">
        <f>SUM(C310:C313)</f>
        <v>2600</v>
      </c>
      <c r="F320" s="27">
        <f>SUM(C310:C314)</f>
        <v>4100</v>
      </c>
      <c r="G320" s="27">
        <f>SUM(C310:C316)</f>
        <v>5700</v>
      </c>
      <c r="H320" s="27">
        <f>SUM(C310:C319)</f>
        <v>8700</v>
      </c>
      <c r="I320" s="51"/>
    </row>
    <row r="321" s="3" customFormat="1" ht="31.2" spans="1:10">
      <c r="A321" s="29" t="s">
        <v>1</v>
      </c>
      <c r="B321" s="29" t="s">
        <v>2</v>
      </c>
      <c r="C321" s="29" t="s">
        <v>3</v>
      </c>
      <c r="D321" s="29" t="s">
        <v>4</v>
      </c>
      <c r="E321" s="29" t="s">
        <v>6</v>
      </c>
      <c r="F321" s="29" t="s">
        <v>7</v>
      </c>
      <c r="G321" s="29" t="s">
        <v>8</v>
      </c>
      <c r="H321" s="29" t="s">
        <v>9</v>
      </c>
      <c r="I321" s="30" t="s">
        <v>10</v>
      </c>
    </row>
    <row r="322" s="3" customFormat="1" ht="15" spans="1:10">
      <c r="A322" s="53" t="s">
        <v>274</v>
      </c>
      <c r="B322" s="15" t="s">
        <v>275</v>
      </c>
      <c r="C322" s="27">
        <v>600</v>
      </c>
      <c r="D322" s="27" t="s">
        <v>13</v>
      </c>
      <c r="E322" s="27" t="s">
        <v>13</v>
      </c>
      <c r="F322" s="27" t="s">
        <v>13</v>
      </c>
      <c r="G322" s="27" t="s">
        <v>13</v>
      </c>
      <c r="H322" s="27" t="s">
        <v>13</v>
      </c>
      <c r="I322" s="51"/>
    </row>
    <row r="323" s="3" customFormat="1" ht="15" spans="1:10">
      <c r="A323" s="54"/>
      <c r="B323" s="15" t="s">
        <v>276</v>
      </c>
      <c r="C323" s="27">
        <v>600</v>
      </c>
      <c r="D323" s="27" t="s">
        <v>13</v>
      </c>
      <c r="E323" s="27" t="s">
        <v>13</v>
      </c>
      <c r="F323" s="27" t="s">
        <v>13</v>
      </c>
      <c r="G323" s="27" t="s">
        <v>13</v>
      </c>
      <c r="H323" s="27" t="s">
        <v>13</v>
      </c>
      <c r="I323" s="51"/>
    </row>
    <row r="324" s="3" customFormat="1" ht="15" spans="1:10">
      <c r="A324" s="54"/>
      <c r="B324" s="15" t="s">
        <v>277</v>
      </c>
      <c r="C324" s="27">
        <v>1400</v>
      </c>
      <c r="D324" s="27"/>
      <c r="E324" s="27" t="s">
        <v>13</v>
      </c>
      <c r="F324" s="27" t="s">
        <v>13</v>
      </c>
      <c r="G324" s="27" t="s">
        <v>13</v>
      </c>
      <c r="H324" s="27" t="s">
        <v>13</v>
      </c>
      <c r="I324" s="51"/>
    </row>
    <row r="325" s="3" customFormat="1" ht="15" spans="1:10">
      <c r="A325" s="54"/>
      <c r="B325" s="15" t="s">
        <v>278</v>
      </c>
      <c r="C325" s="27">
        <v>1500</v>
      </c>
      <c r="D325" s="27"/>
      <c r="E325" s="27"/>
      <c r="F325" s="27" t="s">
        <v>13</v>
      </c>
      <c r="G325" s="27" t="s">
        <v>13</v>
      </c>
      <c r="H325" s="27" t="s">
        <v>13</v>
      </c>
      <c r="I325" s="51"/>
    </row>
    <row r="326" s="3" customFormat="1" ht="15" spans="1:10">
      <c r="A326" s="54"/>
      <c r="B326" s="15" t="s">
        <v>279</v>
      </c>
      <c r="C326" s="27">
        <v>1600</v>
      </c>
      <c r="D326" s="27"/>
      <c r="E326" s="27"/>
      <c r="F326" s="27"/>
      <c r="G326" s="27" t="s">
        <v>13</v>
      </c>
      <c r="H326" s="27" t="s">
        <v>13</v>
      </c>
      <c r="I326" s="51"/>
    </row>
    <row r="327" s="3" customFormat="1" ht="15" spans="1:10">
      <c r="A327" s="54"/>
      <c r="B327" s="15" t="s">
        <v>280</v>
      </c>
      <c r="C327" s="27">
        <v>1500</v>
      </c>
      <c r="D327" s="27"/>
      <c r="E327" s="27"/>
      <c r="F327" s="27"/>
      <c r="G327" s="27"/>
      <c r="H327" s="27" t="s">
        <v>13</v>
      </c>
      <c r="I327" s="51"/>
    </row>
    <row r="328" s="3" customFormat="1" ht="15" spans="1:10">
      <c r="A328" s="54"/>
      <c r="B328" s="15" t="s">
        <v>281</v>
      </c>
      <c r="C328" s="27">
        <v>1500</v>
      </c>
      <c r="D328" s="27"/>
      <c r="E328" s="27"/>
      <c r="F328" s="27"/>
      <c r="G328" s="27"/>
      <c r="H328" s="27" t="s">
        <v>13</v>
      </c>
      <c r="I328" s="51"/>
    </row>
    <row r="329" s="3" customFormat="1" ht="15" spans="1:10">
      <c r="A329" s="36"/>
      <c r="B329" s="37" t="s">
        <v>282</v>
      </c>
      <c r="C329" s="37"/>
      <c r="D329" s="27">
        <f>SUM(C322:C323)</f>
        <v>1200</v>
      </c>
      <c r="E329" s="27">
        <f>SUM(C322:C324)</f>
        <v>2600</v>
      </c>
      <c r="F329" s="27">
        <f>SUM(C322:C325)</f>
        <v>4100</v>
      </c>
      <c r="G329" s="27">
        <f>SUM(C322:C326)</f>
        <v>5700</v>
      </c>
      <c r="H329" s="27">
        <f>SUM(C322:C328)</f>
        <v>8700</v>
      </c>
      <c r="I329" s="51"/>
    </row>
    <row r="330" s="3" customFormat="1" ht="12" spans="1:10">
      <c r="D330" s="55"/>
      <c r="E330" s="55"/>
      <c r="F330" s="55"/>
      <c r="G330" s="55"/>
      <c r="H330" s="55"/>
      <c r="I330" s="55"/>
    </row>
    <row r="331" s="3" customFormat="1" ht="31.2" spans="1:10">
      <c r="A331" s="29" t="s">
        <v>1</v>
      </c>
      <c r="B331" s="29" t="s">
        <v>2</v>
      </c>
      <c r="C331" s="29" t="s">
        <v>3</v>
      </c>
      <c r="D331" s="29" t="s">
        <v>4</v>
      </c>
      <c r="E331" s="29" t="s">
        <v>6</v>
      </c>
      <c r="F331" s="29" t="s">
        <v>7</v>
      </c>
      <c r="G331" s="29" t="s">
        <v>8</v>
      </c>
      <c r="H331" s="29"/>
      <c r="I331" s="30" t="s">
        <v>10</v>
      </c>
    </row>
    <row r="332" s="3" customFormat="1" ht="15" spans="1:10">
      <c r="A332" s="27" t="s">
        <v>283</v>
      </c>
      <c r="B332" s="15" t="s">
        <v>284</v>
      </c>
      <c r="C332" s="27">
        <v>600</v>
      </c>
      <c r="D332" s="27" t="s">
        <v>13</v>
      </c>
      <c r="E332" s="27" t="s">
        <v>13</v>
      </c>
      <c r="F332" s="27" t="s">
        <v>13</v>
      </c>
      <c r="G332" s="27" t="s">
        <v>13</v>
      </c>
      <c r="H332" s="27"/>
      <c r="I332" s="51"/>
      <c r="J332" s="52"/>
    </row>
    <row r="333" s="3" customFormat="1" ht="15" spans="1:10">
      <c r="A333" s="27"/>
      <c r="B333" s="15" t="s">
        <v>285</v>
      </c>
      <c r="C333" s="27">
        <v>600</v>
      </c>
      <c r="D333" s="27" t="s">
        <v>13</v>
      </c>
      <c r="E333" s="27" t="s">
        <v>13</v>
      </c>
      <c r="F333" s="27" t="s">
        <v>13</v>
      </c>
      <c r="G333" s="27" t="s">
        <v>13</v>
      </c>
      <c r="H333" s="27"/>
      <c r="I333" s="51"/>
    </row>
    <row r="334" s="3" customFormat="1" ht="15" spans="1:10">
      <c r="A334" s="27"/>
      <c r="B334" s="15" t="s">
        <v>286</v>
      </c>
      <c r="C334" s="27">
        <v>1400</v>
      </c>
      <c r="D334" s="27"/>
      <c r="E334" s="27" t="s">
        <v>13</v>
      </c>
      <c r="F334" s="27" t="s">
        <v>13</v>
      </c>
      <c r="G334" s="27" t="s">
        <v>13</v>
      </c>
      <c r="H334" s="27"/>
      <c r="I334" s="51"/>
    </row>
    <row r="335" s="3" customFormat="1" ht="15" spans="1:10">
      <c r="A335" s="27"/>
      <c r="B335" s="15" t="s">
        <v>287</v>
      </c>
      <c r="C335" s="27">
        <v>700</v>
      </c>
      <c r="D335" s="27"/>
      <c r="E335" s="27"/>
      <c r="F335" s="27" t="s">
        <v>13</v>
      </c>
      <c r="G335" s="27" t="s">
        <v>13</v>
      </c>
      <c r="H335" s="27"/>
      <c r="I335" s="51"/>
    </row>
    <row r="336" s="3" customFormat="1" ht="15" spans="1:10">
      <c r="A336" s="27"/>
      <c r="B336" s="15" t="s">
        <v>288</v>
      </c>
      <c r="C336" s="27">
        <v>800</v>
      </c>
      <c r="D336" s="27"/>
      <c r="E336" s="27"/>
      <c r="F336" s="27" t="s">
        <v>13</v>
      </c>
      <c r="G336" s="27" t="s">
        <v>13</v>
      </c>
      <c r="H336" s="27"/>
      <c r="I336" s="51"/>
    </row>
    <row r="337" s="3" customFormat="1" ht="15" spans="1:10">
      <c r="A337" s="27"/>
      <c r="B337" s="15" t="s">
        <v>289</v>
      </c>
      <c r="C337" s="27">
        <v>1600</v>
      </c>
      <c r="D337" s="27"/>
      <c r="E337" s="27"/>
      <c r="F337" s="27"/>
      <c r="G337" s="27" t="s">
        <v>13</v>
      </c>
      <c r="H337" s="27"/>
      <c r="I337" s="51"/>
    </row>
    <row r="338" s="3" customFormat="1" ht="15" spans="1:10">
      <c r="A338" s="36"/>
      <c r="B338" s="37" t="s">
        <v>283</v>
      </c>
      <c r="C338" s="37"/>
      <c r="D338" s="27">
        <f t="shared" ref="D338:F338" si="7">SUMIF(D332:D337,"&lt;&gt;",$C$25:$C$30)</f>
        <v>1500</v>
      </c>
      <c r="E338" s="27">
        <f t="shared" si="7"/>
        <v>1500</v>
      </c>
      <c r="F338" s="27">
        <f t="shared" si="7"/>
        <v>2100</v>
      </c>
      <c r="G338" s="27">
        <f>SUM(C332:C337)</f>
        <v>5700</v>
      </c>
      <c r="H338" s="27"/>
      <c r="I338" s="51"/>
    </row>
    <row r="339" s="3" customFormat="1" ht="12" spans="1:10">
      <c r="D339" s="55"/>
      <c r="E339" s="55"/>
      <c r="F339" s="55"/>
      <c r="G339" s="55"/>
      <c r="H339" s="55"/>
      <c r="I339" s="55"/>
    </row>
    <row r="340" s="3" customFormat="1" ht="31.2" spans="1:10">
      <c r="A340" s="29" t="s">
        <v>1</v>
      </c>
      <c r="B340" s="29" t="s">
        <v>2</v>
      </c>
      <c r="C340" s="29" t="s">
        <v>3</v>
      </c>
      <c r="D340" s="29" t="s">
        <v>4</v>
      </c>
      <c r="E340" s="29" t="s">
        <v>6</v>
      </c>
      <c r="F340" s="29" t="s">
        <v>7</v>
      </c>
      <c r="G340" s="29" t="s">
        <v>8</v>
      </c>
      <c r="H340" s="29" t="s">
        <v>9</v>
      </c>
    </row>
    <row r="341" s="3" customFormat="1" ht="15" spans="1:10">
      <c r="A341" s="27" t="s">
        <v>290</v>
      </c>
      <c r="B341" s="15" t="s">
        <v>291</v>
      </c>
      <c r="C341" s="27">
        <v>600</v>
      </c>
      <c r="D341" s="27" t="s">
        <v>13</v>
      </c>
      <c r="E341" s="27" t="s">
        <v>13</v>
      </c>
      <c r="F341" s="27" t="s">
        <v>13</v>
      </c>
      <c r="G341" s="27" t="s">
        <v>13</v>
      </c>
      <c r="H341" s="27" t="s">
        <v>13</v>
      </c>
      <c r="I341" s="52"/>
    </row>
    <row r="342" s="3" customFormat="1" ht="15" spans="1:10">
      <c r="A342" s="27"/>
      <c r="B342" s="15" t="s">
        <v>292</v>
      </c>
      <c r="C342" s="27">
        <v>600</v>
      </c>
      <c r="D342" s="27" t="s">
        <v>13</v>
      </c>
      <c r="E342" s="27" t="s">
        <v>13</v>
      </c>
      <c r="F342" s="27" t="s">
        <v>13</v>
      </c>
      <c r="G342" s="27" t="s">
        <v>13</v>
      </c>
      <c r="H342" s="27" t="s">
        <v>13</v>
      </c>
    </row>
    <row r="343" s="3" customFormat="1" ht="15" spans="1:10">
      <c r="A343" s="27"/>
      <c r="B343" s="15" t="s">
        <v>293</v>
      </c>
      <c r="C343" s="27">
        <v>700</v>
      </c>
      <c r="D343" s="27"/>
      <c r="E343" s="27" t="s">
        <v>13</v>
      </c>
      <c r="F343" s="27" t="s">
        <v>13</v>
      </c>
      <c r="G343" s="27" t="s">
        <v>13</v>
      </c>
      <c r="H343" s="27" t="s">
        <v>13</v>
      </c>
    </row>
    <row r="344" s="3" customFormat="1" ht="15" spans="1:10">
      <c r="A344" s="27"/>
      <c r="B344" s="15" t="s">
        <v>294</v>
      </c>
      <c r="C344" s="27">
        <v>700</v>
      </c>
      <c r="D344" s="27"/>
      <c r="E344" s="27" t="s">
        <v>13</v>
      </c>
      <c r="F344" s="27" t="s">
        <v>13</v>
      </c>
      <c r="G344" s="27" t="s">
        <v>13</v>
      </c>
      <c r="H344" s="27" t="s">
        <v>13</v>
      </c>
    </row>
    <row r="345" s="3" customFormat="1" ht="15" spans="1:10">
      <c r="A345" s="27"/>
      <c r="B345" s="15" t="s">
        <v>295</v>
      </c>
      <c r="C345" s="27">
        <v>1500</v>
      </c>
      <c r="D345" s="27"/>
      <c r="E345" s="27"/>
      <c r="F345" s="27" t="s">
        <v>13</v>
      </c>
      <c r="G345" s="27" t="s">
        <v>13</v>
      </c>
      <c r="H345" s="27" t="s">
        <v>13</v>
      </c>
    </row>
    <row r="346" s="3" customFormat="1" ht="15" spans="1:10">
      <c r="A346" s="27"/>
      <c r="B346" s="15" t="s">
        <v>296</v>
      </c>
      <c r="C346" s="27">
        <v>1600</v>
      </c>
      <c r="D346" s="27"/>
      <c r="E346" s="27"/>
      <c r="F346" s="27"/>
      <c r="G346" s="27" t="s">
        <v>13</v>
      </c>
      <c r="H346" s="27" t="s">
        <v>13</v>
      </c>
    </row>
    <row r="347" s="3" customFormat="1" ht="15" spans="1:10">
      <c r="A347" s="27"/>
      <c r="B347" s="15" t="s">
        <v>297</v>
      </c>
      <c r="C347" s="27">
        <v>3000</v>
      </c>
      <c r="D347" s="27"/>
      <c r="E347" s="27"/>
      <c r="F347" s="27"/>
      <c r="G347" s="27"/>
      <c r="H347" s="27" t="s">
        <v>13</v>
      </c>
    </row>
    <row r="348" s="3" customFormat="1" ht="15" spans="1:10">
      <c r="A348" s="36"/>
      <c r="B348" s="37" t="s">
        <v>290</v>
      </c>
      <c r="C348" s="37"/>
      <c r="D348" s="27">
        <f>SUM(C341:C342)</f>
        <v>1200</v>
      </c>
      <c r="E348" s="27">
        <f>SUM(C341:C344)</f>
        <v>2600</v>
      </c>
      <c r="F348" s="27">
        <f>SUM(C341:C345)</f>
        <v>4100</v>
      </c>
      <c r="G348" s="27">
        <f>SUM(C341:C346)</f>
        <v>5700</v>
      </c>
      <c r="H348" s="27">
        <f>SUM(C341:C347)</f>
        <v>8700</v>
      </c>
    </row>
    <row r="349" s="3" customFormat="1" ht="15" spans="1:10">
      <c r="A349" s="36"/>
      <c r="B349" s="37" t="s">
        <v>298</v>
      </c>
      <c r="C349" s="37"/>
      <c r="D349" s="27">
        <f>SUMIF(D377:D380,"&lt;&gt;",$C$70:$C$73)</f>
        <v>0</v>
      </c>
      <c r="E349" s="27">
        <f>SUMIF(E377:E380,"&lt;&gt;",$C$70:$C$73)</f>
        <v>0</v>
      </c>
      <c r="F349" s="27">
        <f>SUM(C377:C380)</f>
        <v>4100</v>
      </c>
    </row>
    <row r="350" s="3" customFormat="1" ht="12" spans="1:10">
      <c r="D350" s="55"/>
      <c r="E350" s="55"/>
      <c r="F350" s="55"/>
      <c r="G350" s="55"/>
      <c r="H350" s="55"/>
      <c r="I350" s="55"/>
      <c r="J350" s="55"/>
    </row>
    <row r="351" s="3" customFormat="1" ht="31.2" spans="1:10">
      <c r="A351" s="29" t="s">
        <v>1</v>
      </c>
      <c r="B351" s="29" t="s">
        <v>2</v>
      </c>
      <c r="C351" s="29" t="s">
        <v>3</v>
      </c>
      <c r="D351" s="29" t="s">
        <v>4</v>
      </c>
      <c r="E351" s="29" t="s">
        <v>6</v>
      </c>
      <c r="F351" s="56" t="s">
        <v>7</v>
      </c>
      <c r="G351" s="55"/>
    </row>
    <row r="352" s="3" customFormat="1" ht="21.6" customHeight="1" spans="1:10">
      <c r="A352" s="53" t="s">
        <v>299</v>
      </c>
      <c r="B352" s="15" t="s">
        <v>300</v>
      </c>
      <c r="C352" s="38">
        <v>150</v>
      </c>
      <c r="D352" s="27" t="s">
        <v>13</v>
      </c>
      <c r="E352" s="27" t="s">
        <v>13</v>
      </c>
      <c r="F352" s="27" t="s">
        <v>13</v>
      </c>
      <c r="G352" s="55"/>
    </row>
    <row r="353" s="3" customFormat="1" ht="21.6" customHeight="1" spans="1:8">
      <c r="A353" s="54"/>
      <c r="B353" s="15" t="s">
        <v>301</v>
      </c>
      <c r="C353" s="38">
        <v>150</v>
      </c>
      <c r="D353" s="27" t="s">
        <v>13</v>
      </c>
      <c r="E353" s="27" t="s">
        <v>13</v>
      </c>
      <c r="F353" s="27" t="s">
        <v>13</v>
      </c>
      <c r="G353" s="55"/>
    </row>
    <row r="354" s="3" customFormat="1" ht="21.6" customHeight="1" spans="1:8">
      <c r="A354" s="54"/>
      <c r="B354" s="15" t="s">
        <v>302</v>
      </c>
      <c r="C354" s="38">
        <v>300</v>
      </c>
      <c r="D354" s="27"/>
      <c r="E354" s="27" t="s">
        <v>13</v>
      </c>
      <c r="F354" s="27" t="s">
        <v>13</v>
      </c>
      <c r="G354" s="55"/>
    </row>
    <row r="355" s="3" customFormat="1" ht="21.6" customHeight="1" spans="1:8">
      <c r="A355" s="54"/>
      <c r="B355" s="15" t="s">
        <v>303</v>
      </c>
      <c r="C355" s="37">
        <v>400</v>
      </c>
      <c r="D355" s="27"/>
      <c r="E355" s="27" t="s">
        <v>13</v>
      </c>
      <c r="F355" s="27" t="s">
        <v>13</v>
      </c>
      <c r="G355" s="55"/>
    </row>
    <row r="356" s="3" customFormat="1" ht="21.6" customHeight="1" spans="1:8">
      <c r="A356" s="54"/>
      <c r="B356" s="15" t="s">
        <v>304</v>
      </c>
      <c r="C356" s="37">
        <v>700</v>
      </c>
      <c r="D356" s="27"/>
      <c r="E356" s="27"/>
      <c r="F356" s="27" t="s">
        <v>13</v>
      </c>
      <c r="G356" s="55"/>
    </row>
    <row r="357" s="3" customFormat="1" ht="21.6" customHeight="1" spans="1:8">
      <c r="A357" s="57"/>
      <c r="B357" s="15" t="s">
        <v>305</v>
      </c>
      <c r="C357" s="37">
        <v>1000</v>
      </c>
      <c r="D357" s="27"/>
      <c r="E357" s="27"/>
      <c r="F357" s="27" t="s">
        <v>13</v>
      </c>
      <c r="G357" s="55"/>
    </row>
    <row r="358" s="3" customFormat="1" ht="15" spans="1:8">
      <c r="A358" s="36"/>
      <c r="B358" s="37" t="s">
        <v>306</v>
      </c>
      <c r="C358" s="37"/>
      <c r="D358" s="27">
        <f>SUMIF(D352:D354,"&lt;&gt;",$C$45:$C$47)</f>
        <v>0</v>
      </c>
      <c r="E358" s="27">
        <f>SUM(C352:C355)</f>
        <v>1000</v>
      </c>
      <c r="F358" s="27">
        <f>SUM(C352:C357)</f>
        <v>2700</v>
      </c>
    </row>
    <row r="359" s="3" customFormat="1" ht="12" spans="1:8">
      <c r="D359" s="55"/>
      <c r="E359" s="55"/>
      <c r="F359" s="55"/>
      <c r="G359" s="55"/>
      <c r="H359" s="55"/>
    </row>
    <row r="360" s="3" customFormat="1" ht="31.2" spans="1:8">
      <c r="A360" s="29" t="s">
        <v>1</v>
      </c>
      <c r="B360" s="29" t="s">
        <v>2</v>
      </c>
      <c r="C360" s="29" t="s">
        <v>3</v>
      </c>
      <c r="D360" s="29" t="s">
        <v>4</v>
      </c>
      <c r="E360" s="29" t="s">
        <v>6</v>
      </c>
      <c r="F360" s="29" t="s">
        <v>7</v>
      </c>
    </row>
    <row r="361" s="3" customFormat="1" ht="15" spans="1:8">
      <c r="A361" s="27" t="s">
        <v>307</v>
      </c>
      <c r="B361" s="15" t="s">
        <v>308</v>
      </c>
      <c r="C361" s="27">
        <v>600</v>
      </c>
      <c r="D361" s="27" t="s">
        <v>13</v>
      </c>
      <c r="E361" s="27" t="s">
        <v>13</v>
      </c>
      <c r="F361" s="27" t="s">
        <v>13</v>
      </c>
    </row>
    <row r="362" s="3" customFormat="1" ht="15" spans="1:8">
      <c r="A362" s="27"/>
      <c r="B362" s="15" t="s">
        <v>309</v>
      </c>
      <c r="C362" s="27">
        <v>600</v>
      </c>
      <c r="D362" s="27" t="s">
        <v>13</v>
      </c>
      <c r="E362" s="27" t="s">
        <v>13</v>
      </c>
      <c r="F362" s="27" t="s">
        <v>13</v>
      </c>
    </row>
    <row r="363" s="3" customFormat="1" ht="15" spans="1:8">
      <c r="A363" s="27"/>
      <c r="B363" s="15" t="s">
        <v>310</v>
      </c>
      <c r="C363" s="27">
        <v>1400</v>
      </c>
      <c r="D363" s="27"/>
      <c r="E363" s="27" t="s">
        <v>13</v>
      </c>
      <c r="F363" s="27" t="s">
        <v>13</v>
      </c>
    </row>
    <row r="364" s="3" customFormat="1" ht="15" spans="1:8">
      <c r="A364" s="27"/>
      <c r="B364" s="15" t="s">
        <v>311</v>
      </c>
      <c r="C364" s="27">
        <v>1500</v>
      </c>
      <c r="D364" s="27"/>
      <c r="E364" s="27"/>
      <c r="F364" s="27" t="s">
        <v>13</v>
      </c>
    </row>
    <row r="365" s="3" customFormat="1" ht="15" spans="1:8">
      <c r="A365" s="27"/>
      <c r="B365" s="15" t="s">
        <v>312</v>
      </c>
      <c r="C365" s="27">
        <v>1600</v>
      </c>
      <c r="D365" s="27"/>
      <c r="E365" s="27"/>
      <c r="F365" s="27" t="s">
        <v>13</v>
      </c>
    </row>
    <row r="366" s="3" customFormat="1" ht="15" spans="1:8">
      <c r="A366" s="36"/>
      <c r="B366" s="37" t="s">
        <v>282</v>
      </c>
      <c r="C366" s="37"/>
      <c r="D366" s="27">
        <f t="shared" ref="D366:F366" si="8">SUMIF(D361:D365,"&lt;&gt;",$C$54:$C$58)</f>
        <v>1600</v>
      </c>
      <c r="E366" s="27">
        <f t="shared" si="8"/>
        <v>1600</v>
      </c>
      <c r="F366" s="27">
        <f t="shared" si="8"/>
        <v>1600</v>
      </c>
    </row>
    <row r="367" s="3" customFormat="1" ht="12" spans="1:8">
      <c r="D367" s="55"/>
      <c r="E367" s="55"/>
      <c r="F367" s="55"/>
      <c r="G367" s="55"/>
    </row>
    <row r="368" s="3" customFormat="1" ht="17.1" customHeight="1" spans="1:8">
      <c r="A368" s="29" t="s">
        <v>1</v>
      </c>
      <c r="B368" s="29" t="s">
        <v>2</v>
      </c>
      <c r="C368" s="29" t="s">
        <v>3</v>
      </c>
      <c r="D368" s="29" t="s">
        <v>4</v>
      </c>
      <c r="E368" s="29" t="s">
        <v>6</v>
      </c>
      <c r="F368" s="29" t="s">
        <v>7</v>
      </c>
      <c r="G368" s="29" t="s">
        <v>8</v>
      </c>
    </row>
    <row r="369" s="3" customFormat="1" ht="15" spans="1:7">
      <c r="A369" s="27" t="s">
        <v>313</v>
      </c>
      <c r="B369" s="15" t="s">
        <v>314</v>
      </c>
      <c r="C369" s="27">
        <v>600</v>
      </c>
      <c r="D369" s="27" t="s">
        <v>13</v>
      </c>
      <c r="E369" s="27" t="s">
        <v>13</v>
      </c>
      <c r="F369" s="27" t="s">
        <v>13</v>
      </c>
      <c r="G369" s="27" t="s">
        <v>13</v>
      </c>
    </row>
    <row r="370" s="3" customFormat="1" ht="15" spans="1:7">
      <c r="A370" s="27"/>
      <c r="B370" s="15" t="s">
        <v>315</v>
      </c>
      <c r="C370" s="27">
        <v>600</v>
      </c>
      <c r="D370" s="27" t="s">
        <v>13</v>
      </c>
      <c r="E370" s="27" t="s">
        <v>13</v>
      </c>
      <c r="F370" s="27" t="s">
        <v>13</v>
      </c>
      <c r="G370" s="27" t="s">
        <v>13</v>
      </c>
    </row>
    <row r="371" s="3" customFormat="1" ht="15" spans="1:7">
      <c r="A371" s="27"/>
      <c r="B371" s="15" t="s">
        <v>316</v>
      </c>
      <c r="C371" s="27">
        <v>1400</v>
      </c>
      <c r="D371" s="27"/>
      <c r="E371" s="27" t="s">
        <v>13</v>
      </c>
      <c r="F371" s="27" t="s">
        <v>13</v>
      </c>
      <c r="G371" s="27" t="s">
        <v>13</v>
      </c>
    </row>
    <row r="372" s="3" customFormat="1" ht="15" spans="1:7">
      <c r="A372" s="27"/>
      <c r="B372" s="15" t="s">
        <v>317</v>
      </c>
      <c r="C372" s="27">
        <v>1500</v>
      </c>
      <c r="D372" s="27"/>
      <c r="E372" s="27"/>
      <c r="F372" s="27" t="s">
        <v>13</v>
      </c>
      <c r="G372" s="27" t="s">
        <v>13</v>
      </c>
    </row>
    <row r="373" s="3" customFormat="1" ht="15" spans="1:7">
      <c r="A373" s="27"/>
      <c r="B373" s="15" t="s">
        <v>318</v>
      </c>
      <c r="C373" s="27">
        <v>1600</v>
      </c>
      <c r="D373" s="27"/>
      <c r="E373" s="27"/>
      <c r="F373" s="27"/>
      <c r="G373" s="27" t="s">
        <v>13</v>
      </c>
    </row>
    <row r="374" s="3" customFormat="1" ht="15" spans="1:7">
      <c r="A374" s="36"/>
      <c r="B374" s="37" t="s">
        <v>313</v>
      </c>
      <c r="C374" s="37"/>
      <c r="D374" s="27">
        <f t="shared" ref="D374:G374" si="9">SUMIF(D369:D373,"&lt;&gt;",$C$62:$C$66)</f>
        <v>0</v>
      </c>
      <c r="E374" s="27">
        <f t="shared" si="9"/>
        <v>0</v>
      </c>
      <c r="F374" s="27">
        <f t="shared" si="9"/>
        <v>150</v>
      </c>
      <c r="G374" s="27">
        <f t="shared" si="9"/>
        <v>300</v>
      </c>
    </row>
    <row r="375" s="3" customFormat="1" ht="12" spans="1:7">
      <c r="D375" s="55"/>
      <c r="E375" s="55"/>
      <c r="F375" s="55"/>
      <c r="G375" s="55"/>
    </row>
    <row r="376" s="3" customFormat="1" ht="31.2" spans="1:7">
      <c r="A376" s="29" t="s">
        <v>1</v>
      </c>
      <c r="B376" s="29" t="s">
        <v>2</v>
      </c>
      <c r="C376" s="29" t="s">
        <v>3</v>
      </c>
      <c r="D376" s="29" t="s">
        <v>4</v>
      </c>
      <c r="E376" s="29" t="s">
        <v>6</v>
      </c>
      <c r="F376" s="29" t="s">
        <v>7</v>
      </c>
    </row>
    <row r="377" s="3" customFormat="1" ht="15" spans="1:7">
      <c r="A377" s="27" t="s">
        <v>319</v>
      </c>
      <c r="B377" s="15" t="s">
        <v>320</v>
      </c>
      <c r="C377" s="27">
        <v>600</v>
      </c>
      <c r="D377" s="27" t="s">
        <v>13</v>
      </c>
      <c r="E377" s="27" t="s">
        <v>13</v>
      </c>
      <c r="F377" s="27" t="s">
        <v>13</v>
      </c>
    </row>
    <row r="378" s="3" customFormat="1" ht="15" spans="1:7">
      <c r="A378" s="27"/>
      <c r="B378" s="15" t="s">
        <v>321</v>
      </c>
      <c r="C378" s="27">
        <v>600</v>
      </c>
      <c r="D378" s="27" t="s">
        <v>13</v>
      </c>
      <c r="E378" s="27" t="s">
        <v>13</v>
      </c>
      <c r="F378" s="27" t="s">
        <v>13</v>
      </c>
    </row>
    <row r="379" s="3" customFormat="1" ht="15" spans="1:7">
      <c r="A379" s="27"/>
      <c r="B379" s="33" t="s">
        <v>322</v>
      </c>
      <c r="C379" s="27">
        <v>1400</v>
      </c>
      <c r="D379" s="27"/>
      <c r="E379" s="27" t="s">
        <v>13</v>
      </c>
      <c r="F379" s="27" t="s">
        <v>13</v>
      </c>
    </row>
    <row r="380" s="3" customFormat="1" ht="15" spans="1:7">
      <c r="A380" s="27"/>
      <c r="B380" s="15" t="s">
        <v>323</v>
      </c>
      <c r="C380" s="27">
        <v>1500</v>
      </c>
      <c r="D380" s="27"/>
      <c r="E380" s="27"/>
      <c r="F380" s="27" t="s">
        <v>13</v>
      </c>
    </row>
  </sheetData>
  <mergeCells count="36">
    <mergeCell ref="A3:A10"/>
    <mergeCell ref="A17:A25"/>
    <mergeCell ref="A29:A34"/>
    <mergeCell ref="A38:A44"/>
    <mergeCell ref="A48:A55"/>
    <mergeCell ref="A60:A61"/>
    <mergeCell ref="A65:A69"/>
    <mergeCell ref="A73:A81"/>
    <mergeCell ref="A85:A93"/>
    <mergeCell ref="A97:A107"/>
    <mergeCell ref="A112:A118"/>
    <mergeCell ref="A122:A127"/>
    <mergeCell ref="A131:A138"/>
    <mergeCell ref="A142:A149"/>
    <mergeCell ref="A153:A160"/>
    <mergeCell ref="A164:A171"/>
    <mergeCell ref="A175:A180"/>
    <mergeCell ref="A185:A194"/>
    <mergeCell ref="A198:A207"/>
    <mergeCell ref="A211:A220"/>
    <mergeCell ref="A224:A233"/>
    <mergeCell ref="A237:A246"/>
    <mergeCell ref="A250:A257"/>
    <mergeCell ref="A261:A268"/>
    <mergeCell ref="A273:A279"/>
    <mergeCell ref="A283:A287"/>
    <mergeCell ref="A291:A296"/>
    <mergeCell ref="A300:A305"/>
    <mergeCell ref="A310:A319"/>
    <mergeCell ref="A322:A328"/>
    <mergeCell ref="A332:A337"/>
    <mergeCell ref="A341:A347"/>
    <mergeCell ref="A352:A357"/>
    <mergeCell ref="A361:A365"/>
    <mergeCell ref="A369:A373"/>
    <mergeCell ref="A377:A38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E626熊伟</dc:creator>
  <cp:lastModifiedBy>Bear</cp:lastModifiedBy>
  <dcterms:created xsi:type="dcterms:W3CDTF">2023-05-12T11:15:00Z</dcterms:created>
  <dcterms:modified xsi:type="dcterms:W3CDTF">2026-03-03T05:20:54Z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52300DBC7F99479E8228609A8B4B3A4E_12</vt:lpwstr>
  </property>
  <property fmtid="{D5CDD505-2E9C-101B-9397-08002B2CF9AE}" pid="4" name="CalculationRule">
    <vt:i4>0</vt:i4>
  </property>
</Properties>
</file>