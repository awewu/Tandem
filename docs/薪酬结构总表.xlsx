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880" tabRatio="769"/>
  </bookViews>
  <sheets>
    <sheet name="薪酬设计总览-2026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<sst xmlns="http://schemas.openxmlformats.org/spreadsheetml/2006/main" count="357" uniqueCount="61">
  <si>
    <t>岗族</t>
  </si>
  <si>
    <t>隐藏</t>
  </si>
  <si>
    <t>岗位学历</t>
  </si>
  <si>
    <t>岗位经验</t>
  </si>
  <si>
    <t>基本工资
标准匹配</t>
  </si>
  <si>
    <t>对比</t>
  </si>
  <si>
    <t>基本工资</t>
  </si>
  <si>
    <t>层级</t>
  </si>
  <si>
    <t>技能工资</t>
  </si>
  <si>
    <t>技能级差</t>
  </si>
  <si>
    <t>任务比例</t>
  </si>
  <si>
    <t>任务工资</t>
  </si>
  <si>
    <t>任务级差</t>
  </si>
  <si>
    <t>调整级差</t>
  </si>
  <si>
    <t>A</t>
  </si>
  <si>
    <t>B</t>
  </si>
  <si>
    <t>C</t>
  </si>
  <si>
    <t>D</t>
  </si>
  <si>
    <t>E</t>
  </si>
  <si>
    <t>F</t>
  </si>
  <si>
    <t>G</t>
  </si>
  <si>
    <t>对应岗位</t>
  </si>
  <si>
    <t>标准年薪
（不含绩效）</t>
  </si>
  <si>
    <t>月薪标准</t>
  </si>
  <si>
    <t>总薪资（基本+技能+任务）</t>
  </si>
  <si>
    <t>占比
（基本·技能·任务）</t>
  </si>
  <si>
    <t>Ⅰ类</t>
  </si>
  <si>
    <t>总裁助理
法务</t>
  </si>
  <si>
    <t>HRBP</t>
  </si>
  <si>
    <t>一般本科</t>
  </si>
  <si>
    <t>0年（含）-3年</t>
  </si>
  <si>
    <t>L1</t>
  </si>
  <si>
    <t>助理工程师</t>
  </si>
  <si>
    <t>L1A</t>
  </si>
  <si>
    <t>3年（含）-5年</t>
  </si>
  <si>
    <t>L2</t>
  </si>
  <si>
    <t>初级工程师</t>
  </si>
  <si>
    <t>5年（含）-10年</t>
  </si>
  <si>
    <t>L3</t>
  </si>
  <si>
    <t>中级工程师</t>
  </si>
  <si>
    <t>10年（含）及以上</t>
  </si>
  <si>
    <t>L4</t>
  </si>
  <si>
    <t>高级工程师</t>
  </si>
  <si>
    <t>L5</t>
  </si>
  <si>
    <t>总工程师</t>
  </si>
  <si>
    <t>Ⅱ类</t>
  </si>
  <si>
    <t>SSC</t>
  </si>
  <si>
    <t>基本工资
比较</t>
  </si>
  <si>
    <t>成本
总账</t>
  </si>
  <si>
    <t>FP&amp;A</t>
  </si>
  <si>
    <t>出纳
（大专）</t>
  </si>
  <si>
    <t>核算</t>
  </si>
  <si>
    <t>岗类</t>
  </si>
  <si>
    <t>工艺、设备、模具、质量、EHS</t>
  </si>
  <si>
    <t>采购、计划</t>
  </si>
  <si>
    <t>工业设计
IT</t>
  </si>
  <si>
    <t>开发
DT、电控
项目经理
产品管理
技术支持</t>
  </si>
  <si>
    <t>工程服务</t>
  </si>
  <si>
    <t>市场营销、平面设计、电商运营、设计院推广、产品管理、技术支持、技术服务（售后）</t>
  </si>
  <si>
    <t>Ⅲ类</t>
  </si>
  <si>
    <t>销售支持
（运营管理、信息管理、销售助理）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</si>
</sst>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</numFmts>
  <fonts count="32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2060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8" borderId="33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4">
      <alignment vertical="center"/>
    </xf>
    <xf numFmtId="0" fontId="18" fillId="0" borderId="34">
      <alignment vertical="center"/>
    </xf>
    <xf numFmtId="0" fontId="19" fillId="0" borderId="35">
      <alignment vertical="center"/>
    </xf>
    <xf numFmtId="0" fontId="19" fillId="0" borderId="0">
      <alignment vertical="center"/>
    </xf>
    <xf numFmtId="0" fontId="20" fillId="9" borderId="36">
      <alignment vertical="center"/>
    </xf>
    <xf numFmtId="0" fontId="21" fillId="10" borderId="37">
      <alignment vertical="center"/>
    </xf>
    <xf numFmtId="0" fontId="22" fillId="10" borderId="36">
      <alignment vertical="center"/>
    </xf>
    <xf numFmtId="0" fontId="23" fillId="11" borderId="38">
      <alignment vertical="center"/>
    </xf>
    <xf numFmtId="0" fontId="24" fillId="0" borderId="39">
      <alignment vertical="center"/>
    </xf>
    <xf numFmtId="0" fontId="25" fillId="0" borderId="4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179">
    <xf numFmtId="0" fontId="0" fillId="0" borderId="0" xfId="0" applyAlignment="1">
      <alignment vertical="center"/>
    </xf>
    <xf numFmtId="0" fontId="1" fillId="2" borderId="0" xfId="49" applyFont="1" applyFill="1" applyAlignment="1">
      <alignment horizontal="center" vertical="center"/>
    </xf>
    <xf numFmtId="0" fontId="2" fillId="2" borderId="0" xfId="49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4" fillId="3" borderId="4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 wrapText="1"/>
    </xf>
    <xf numFmtId="0" fontId="3" fillId="3" borderId="5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 wrapText="1"/>
    </xf>
    <xf numFmtId="0" fontId="3" fillId="5" borderId="4" xfId="49" applyFont="1" applyFill="1" applyBorder="1" applyAlignment="1">
      <alignment horizontal="center" vertical="center" wrapText="1"/>
    </xf>
    <xf numFmtId="9" fontId="3" fillId="6" borderId="1" xfId="3" applyFont="1" applyFill="1" applyBorder="1" applyAlignment="1">
      <alignment horizontal="center" vertical="center" wrapText="1"/>
    </xf>
    <xf numFmtId="0" fontId="3" fillId="6" borderId="4" xfId="49" applyFont="1" applyFill="1" applyBorder="1" applyAlignment="1">
      <alignment horizontal="center" vertical="center" wrapText="1"/>
    </xf>
    <xf numFmtId="0" fontId="3" fillId="6" borderId="1" xfId="49" applyFont="1" applyFill="1" applyBorder="1" applyAlignment="1">
      <alignment horizontal="center" vertical="center" wrapText="1"/>
    </xf>
    <xf numFmtId="49" fontId="3" fillId="6" borderId="4" xfId="49" applyNumberFormat="1" applyFont="1" applyFill="1" applyBorder="1" applyAlignment="1">
      <alignment horizontal="center" vertical="center" wrapText="1"/>
    </xf>
    <xf numFmtId="49" fontId="3" fillId="6" borderId="5" xfId="49" applyNumberFormat="1" applyFont="1" applyFill="1" applyBorder="1" applyAlignment="1">
      <alignment horizontal="center" vertical="center" wrapText="1"/>
    </xf>
    <xf numFmtId="0" fontId="3" fillId="3" borderId="6" xfId="49" applyFont="1" applyFill="1" applyBorder="1" applyAlignment="1">
      <alignment horizontal="center" vertical="center"/>
    </xf>
    <xf numFmtId="176" fontId="3" fillId="3" borderId="7" xfId="49" applyNumberFormat="1" applyFont="1" applyFill="1" applyBorder="1" applyAlignment="1">
      <alignment horizontal="center" vertical="center" wrapText="1"/>
    </xf>
    <xf numFmtId="0" fontId="3" fillId="3" borderId="8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 wrapText="1"/>
    </xf>
    <xf numFmtId="0" fontId="2" fillId="2" borderId="1" xfId="22" applyFont="1" applyFill="1" applyBorder="1" applyAlignment="1">
      <alignment horizontal="center" vertical="center"/>
    </xf>
    <xf numFmtId="0" fontId="2" fillId="2" borderId="9" xfId="22" applyFont="1" applyFill="1" applyBorder="1" applyAlignment="1">
      <alignment horizontal="center" vertical="center" wrapText="1"/>
    </xf>
    <xf numFmtId="0" fontId="2" fillId="2" borderId="4" xfId="22" applyFont="1" applyFill="1" applyBorder="1" applyAlignment="1">
      <alignment horizontal="center" vertical="center"/>
    </xf>
    <xf numFmtId="0" fontId="5" fillId="0" borderId="5" xfId="22" applyFont="1" applyFill="1" applyBorder="1" applyAlignment="1">
      <alignment horizontal="center" vertical="center"/>
    </xf>
    <xf numFmtId="0" fontId="6" fillId="2" borderId="5" xfId="22" applyFont="1" applyFill="1" applyBorder="1" applyAlignment="1">
      <alignment horizontal="center" vertical="center"/>
    </xf>
    <xf numFmtId="9" fontId="2" fillId="2" borderId="1" xfId="22" applyNumberFormat="1" applyFont="1" applyFill="1" applyBorder="1" applyAlignment="1">
      <alignment horizontal="center" vertical="center"/>
    </xf>
    <xf numFmtId="0" fontId="5" fillId="2" borderId="4" xfId="22" applyFont="1" applyFill="1" applyBorder="1" applyAlignment="1">
      <alignment horizontal="center" vertical="center"/>
    </xf>
    <xf numFmtId="0" fontId="2" fillId="2" borderId="5" xfId="22" applyFont="1" applyFill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>
      <alignment vertical="center"/>
    </xf>
    <xf numFmtId="0" fontId="2" fillId="2" borderId="4" xfId="49" applyFont="1" applyFill="1" applyBorder="1">
      <alignment vertical="center"/>
    </xf>
    <xf numFmtId="0" fontId="6" fillId="2" borderId="4" xfId="49" applyFont="1" applyFill="1" applyBorder="1">
      <alignment vertical="center"/>
    </xf>
    <xf numFmtId="0" fontId="2" fillId="2" borderId="5" xfId="49" applyFont="1" applyFill="1" applyBorder="1">
      <alignment vertical="center"/>
    </xf>
    <xf numFmtId="9" fontId="8" fillId="2" borderId="10" xfId="22" applyNumberFormat="1" applyFont="1" applyFill="1" applyBorder="1" applyAlignment="1">
      <alignment horizontal="center" vertical="center"/>
    </xf>
    <xf numFmtId="9" fontId="8" fillId="2" borderId="0" xfId="22" applyNumberFormat="1" applyFont="1" applyFill="1" applyBorder="1" applyAlignment="1">
      <alignment horizontal="center" vertical="center"/>
    </xf>
    <xf numFmtId="9" fontId="9" fillId="2" borderId="11" xfId="22" applyNumberFormat="1" applyFont="1" applyFill="1" applyBorder="1" applyAlignment="1">
      <alignment horizontal="center" vertical="center"/>
    </xf>
    <xf numFmtId="0" fontId="2" fillId="2" borderId="10" xfId="22" applyFont="1" applyFill="1" applyBorder="1" applyAlignment="1">
      <alignment horizontal="center" vertical="center"/>
    </xf>
    <xf numFmtId="0" fontId="2" fillId="2" borderId="12" xfId="22" applyFont="1" applyFill="1" applyBorder="1" applyAlignment="1">
      <alignment horizontal="center" vertical="center" wrapText="1"/>
    </xf>
    <xf numFmtId="0" fontId="2" fillId="2" borderId="0" xfId="22" applyFont="1" applyFill="1" applyBorder="1" applyAlignment="1">
      <alignment horizontal="center" vertical="center"/>
    </xf>
    <xf numFmtId="0" fontId="5" fillId="0" borderId="11" xfId="22" applyFont="1" applyFill="1" applyBorder="1" applyAlignment="1">
      <alignment horizontal="center" vertical="center"/>
    </xf>
    <xf numFmtId="0" fontId="6" fillId="2" borderId="11" xfId="22" applyFont="1" applyFill="1" applyBorder="1" applyAlignment="1">
      <alignment horizontal="center" vertical="center"/>
    </xf>
    <xf numFmtId="9" fontId="2" fillId="2" borderId="10" xfId="22" applyNumberFormat="1" applyFont="1" applyFill="1" applyBorder="1" applyAlignment="1">
      <alignment horizontal="center" vertical="center"/>
    </xf>
    <xf numFmtId="0" fontId="5" fillId="2" borderId="0" xfId="22" applyFont="1" applyFill="1" applyBorder="1" applyAlignment="1">
      <alignment horizontal="center" vertical="center"/>
    </xf>
    <xf numFmtId="0" fontId="2" fillId="2" borderId="11" xfId="22" applyFont="1" applyFill="1" applyBorder="1" applyAlignment="1">
      <alignment horizontal="center" vertical="center"/>
    </xf>
    <xf numFmtId="0" fontId="7" fillId="2" borderId="10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2" borderId="10" xfId="49" applyFont="1" applyFill="1" applyBorder="1" applyAlignment="1">
      <alignment horizontal="center" vertical="center"/>
    </xf>
    <xf numFmtId="0" fontId="2" fillId="2" borderId="10" xfId="49" applyFont="1" applyFill="1" applyBorder="1">
      <alignment vertical="center"/>
    </xf>
    <xf numFmtId="0" fontId="6" fillId="2" borderId="0" xfId="49" applyFont="1" applyFill="1">
      <alignment vertical="center"/>
    </xf>
    <xf numFmtId="0" fontId="2" fillId="2" borderId="11" xfId="49" applyFont="1" applyFill="1" applyBorder="1">
      <alignment vertical="center"/>
    </xf>
    <xf numFmtId="9" fontId="2" fillId="2" borderId="0" xfId="22" applyNumberFormat="1" applyFont="1" applyFill="1" applyBorder="1" applyAlignment="1">
      <alignment horizontal="center" vertical="center"/>
    </xf>
    <xf numFmtId="0" fontId="8" fillId="2" borderId="0" xfId="22" applyFont="1" applyFill="1" applyBorder="1" applyAlignment="1">
      <alignment horizontal="center" vertical="center"/>
    </xf>
    <xf numFmtId="0" fontId="8" fillId="2" borderId="11" xfId="22" applyFont="1" applyFill="1" applyBorder="1" applyAlignment="1">
      <alignment horizontal="center" vertical="center"/>
    </xf>
    <xf numFmtId="0" fontId="2" fillId="2" borderId="13" xfId="22" applyFont="1" applyFill="1" applyBorder="1" applyAlignment="1">
      <alignment horizontal="center" vertical="center"/>
    </xf>
    <xf numFmtId="0" fontId="2" fillId="2" borderId="14" xfId="22" applyFont="1" applyFill="1" applyBorder="1" applyAlignment="1">
      <alignment horizontal="center" vertical="center" wrapText="1"/>
    </xf>
    <xf numFmtId="0" fontId="2" fillId="2" borderId="15" xfId="22" applyFont="1" applyFill="1" applyBorder="1" applyAlignment="1">
      <alignment horizontal="center" vertical="center"/>
    </xf>
    <xf numFmtId="0" fontId="6" fillId="2" borderId="16" xfId="22" applyFont="1" applyFill="1" applyBorder="1" applyAlignment="1">
      <alignment horizontal="center" vertical="center"/>
    </xf>
    <xf numFmtId="9" fontId="2" fillId="2" borderId="13" xfId="22" applyNumberFormat="1" applyFont="1" applyFill="1" applyBorder="1" applyAlignment="1">
      <alignment horizontal="center" vertical="center"/>
    </xf>
    <xf numFmtId="0" fontId="5" fillId="2" borderId="15" xfId="22" applyFont="1" applyFill="1" applyBorder="1" applyAlignment="1">
      <alignment horizontal="center" vertical="center"/>
    </xf>
    <xf numFmtId="0" fontId="2" fillId="2" borderId="16" xfId="22" applyFont="1" applyFill="1" applyBorder="1" applyAlignment="1">
      <alignment horizontal="center" vertical="center"/>
    </xf>
    <xf numFmtId="0" fontId="7" fillId="2" borderId="13" xfId="49" applyFont="1" applyFill="1" applyBorder="1" applyAlignment="1">
      <alignment horizontal="center" vertical="center"/>
    </xf>
    <xf numFmtId="0" fontId="2" fillId="2" borderId="15" xfId="49" applyFont="1" applyFill="1" applyBorder="1" applyAlignment="1">
      <alignment horizontal="center" vertical="center"/>
    </xf>
    <xf numFmtId="0" fontId="2" fillId="2" borderId="13" xfId="49" applyFont="1" applyFill="1" applyBorder="1" applyAlignment="1">
      <alignment horizontal="center" vertical="center"/>
    </xf>
    <xf numFmtId="0" fontId="2" fillId="2" borderId="13" xfId="49" applyFont="1" applyFill="1" applyBorder="1">
      <alignment vertical="center"/>
    </xf>
    <xf numFmtId="0" fontId="2" fillId="2" borderId="15" xfId="49" applyFont="1" applyFill="1" applyBorder="1">
      <alignment vertical="center"/>
    </xf>
    <xf numFmtId="0" fontId="6" fillId="2" borderId="15" xfId="49" applyFont="1" applyFill="1" applyBorder="1">
      <alignment vertical="center"/>
    </xf>
    <xf numFmtId="0" fontId="2" fillId="2" borderId="16" xfId="49" applyFont="1" applyFill="1" applyBorder="1">
      <alignment vertical="center"/>
    </xf>
    <xf numFmtId="9" fontId="8" fillId="2" borderId="15" xfId="22" applyNumberFormat="1" applyFont="1" applyFill="1" applyBorder="1" applyAlignment="1">
      <alignment horizontal="center" vertical="center"/>
    </xf>
    <xf numFmtId="9" fontId="2" fillId="2" borderId="15" xfId="22" applyNumberFormat="1" applyFont="1" applyFill="1" applyBorder="1" applyAlignment="1">
      <alignment horizontal="center" vertical="center"/>
    </xf>
    <xf numFmtId="9" fontId="9" fillId="2" borderId="16" xfId="22" applyNumberFormat="1" applyFont="1" applyFill="1" applyBorder="1" applyAlignment="1">
      <alignment horizontal="center" vertical="center"/>
    </xf>
    <xf numFmtId="0" fontId="5" fillId="0" borderId="0" xfId="22" applyFont="1" applyFill="1" applyBorder="1" applyAlignment="1">
      <alignment horizontal="center" vertical="center"/>
    </xf>
    <xf numFmtId="10" fontId="0" fillId="0" borderId="0" xfId="3" applyNumberFormat="1" applyFill="1">
      <alignment vertical="center"/>
    </xf>
    <xf numFmtId="0" fontId="5" fillId="0" borderId="16" xfId="22" applyFont="1" applyFill="1" applyBorder="1" applyAlignment="1">
      <alignment horizontal="center" vertical="center"/>
    </xf>
    <xf numFmtId="0" fontId="5" fillId="0" borderId="15" xfId="22" applyFont="1" applyFill="1" applyBorder="1" applyAlignment="1">
      <alignment horizontal="center" vertical="center"/>
    </xf>
    <xf numFmtId="9" fontId="8" fillId="2" borderId="13" xfId="22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49" fontId="3" fillId="6" borderId="17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20" xfId="22" applyFont="1" applyFill="1" applyBorder="1" applyAlignment="1">
      <alignment horizontal="center" vertical="center" wrapText="1"/>
    </xf>
    <xf numFmtId="0" fontId="2" fillId="2" borderId="21" xfId="22" applyFont="1" applyFill="1" applyBorder="1" applyAlignment="1">
      <alignment horizontal="center" vertical="center" wrapText="1"/>
    </xf>
    <xf numFmtId="0" fontId="2" fillId="2" borderId="0" xfId="22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22" xfId="22" applyFont="1" applyFill="1" applyBorder="1" applyAlignment="1">
      <alignment horizontal="center" vertical="center" wrapText="1"/>
    </xf>
    <xf numFmtId="0" fontId="2" fillId="2" borderId="23" xfId="22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2" borderId="0" xfId="49" applyFont="1" applyFill="1" applyBorder="1" applyAlignment="1">
      <alignment horizontal="center" vertical="center"/>
    </xf>
    <xf numFmtId="0" fontId="2" fillId="2" borderId="24" xfId="22" applyFont="1" applyFill="1" applyBorder="1" applyAlignment="1">
      <alignment horizontal="center" vertical="center" wrapText="1"/>
    </xf>
    <xf numFmtId="0" fontId="2" fillId="2" borderId="25" xfId="22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8" fillId="2" borderId="10" xfId="22" applyFont="1" applyFill="1" applyBorder="1" applyAlignment="1">
      <alignment horizontal="center" vertical="center"/>
    </xf>
    <xf numFmtId="1" fontId="2" fillId="2" borderId="0" xfId="22" applyNumberFormat="1" applyFont="1" applyFill="1" applyBorder="1" applyAlignment="1">
      <alignment horizontal="center" vertical="center"/>
    </xf>
    <xf numFmtId="0" fontId="2" fillId="7" borderId="26" xfId="22" applyFont="1" applyFill="1" applyBorder="1" applyAlignment="1">
      <alignment horizontal="center" vertical="center" wrapText="1"/>
    </xf>
    <xf numFmtId="0" fontId="2" fillId="7" borderId="27" xfId="22" applyFont="1" applyFill="1" applyBorder="1" applyAlignment="1">
      <alignment horizontal="center" vertical="center" wrapText="1"/>
    </xf>
    <xf numFmtId="0" fontId="2" fillId="2" borderId="28" xfId="22" applyFont="1" applyFill="1" applyBorder="1" applyAlignment="1">
      <alignment horizontal="center" vertical="center" wrapText="1"/>
    </xf>
    <xf numFmtId="0" fontId="8" fillId="2" borderId="16" xfId="22" applyFont="1" applyFill="1" applyBorder="1" applyAlignment="1">
      <alignment horizontal="center" vertical="center"/>
    </xf>
    <xf numFmtId="0" fontId="2" fillId="2" borderId="9" xfId="22" applyFont="1" applyFill="1" applyBorder="1" applyAlignment="1">
      <alignment horizontal="center" vertical="center"/>
    </xf>
    <xf numFmtId="0" fontId="2" fillId="2" borderId="29" xfId="22" applyFont="1" applyFill="1" applyBorder="1" applyAlignment="1">
      <alignment horizontal="center" vertical="center" wrapText="1"/>
    </xf>
    <xf numFmtId="0" fontId="2" fillId="2" borderId="21" xfId="22" applyFont="1" applyFill="1" applyBorder="1" applyAlignment="1">
      <alignment horizontal="center" vertical="center"/>
    </xf>
    <xf numFmtId="0" fontId="6" fillId="2" borderId="4" xfId="22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9" fontId="8" fillId="2" borderId="1" xfId="22" applyNumberFormat="1" applyFont="1" applyFill="1" applyBorder="1" applyAlignment="1">
      <alignment horizontal="center" vertical="center"/>
    </xf>
    <xf numFmtId="9" fontId="2" fillId="2" borderId="4" xfId="22" applyNumberFormat="1" applyFont="1" applyFill="1" applyBorder="1" applyAlignment="1">
      <alignment horizontal="center" vertical="center"/>
    </xf>
    <xf numFmtId="9" fontId="9" fillId="2" borderId="5" xfId="22" applyNumberFormat="1" applyFont="1" applyFill="1" applyBorder="1" applyAlignment="1">
      <alignment horizontal="center" vertical="center"/>
    </xf>
    <xf numFmtId="0" fontId="2" fillId="2" borderId="14" xfId="22" applyFont="1" applyFill="1" applyBorder="1" applyAlignment="1">
      <alignment horizontal="center" vertical="center"/>
    </xf>
    <xf numFmtId="0" fontId="2" fillId="2" borderId="30" xfId="22" applyFont="1" applyFill="1" applyBorder="1" applyAlignment="1">
      <alignment horizontal="center" vertical="center"/>
    </xf>
    <xf numFmtId="0" fontId="2" fillId="2" borderId="31" xfId="22" applyFont="1" applyFill="1" applyBorder="1" applyAlignment="1">
      <alignment horizontal="center" vertical="center"/>
    </xf>
    <xf numFmtId="0" fontId="6" fillId="2" borderId="15" xfId="22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9" fontId="2" fillId="2" borderId="0" xfId="3" applyFont="1" applyFill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9" xfId="49" applyFont="1" applyFill="1" applyBorder="1" applyAlignment="1">
      <alignment horizontal="center" vertical="center" wrapText="1"/>
    </xf>
    <xf numFmtId="0" fontId="2" fillId="2" borderId="12" xfId="22" applyFont="1" applyFill="1" applyBorder="1" applyAlignment="1">
      <alignment horizontal="center" vertical="center"/>
    </xf>
    <xf numFmtId="0" fontId="2" fillId="2" borderId="10" xfId="22" applyFont="1" applyFill="1" applyBorder="1" applyAlignment="1">
      <alignment horizontal="center" vertical="center" wrapText="1"/>
    </xf>
    <xf numFmtId="0" fontId="2" fillId="2" borderId="11" xfId="22" applyFont="1" applyFill="1" applyBorder="1" applyAlignment="1">
      <alignment horizontal="center" vertical="center" wrapText="1"/>
    </xf>
    <xf numFmtId="0" fontId="2" fillId="2" borderId="13" xfId="22" applyFont="1" applyFill="1" applyBorder="1" applyAlignment="1">
      <alignment horizontal="center" vertical="center" wrapText="1"/>
    </xf>
    <xf numFmtId="0" fontId="2" fillId="2" borderId="16" xfId="22" applyFont="1" applyFill="1" applyBorder="1" applyAlignment="1">
      <alignment horizontal="center" vertical="center" wrapText="1"/>
    </xf>
    <xf numFmtId="0" fontId="2" fillId="2" borderId="1" xfId="22" applyFont="1" applyFill="1" applyBorder="1" applyAlignment="1">
      <alignment horizontal="center" vertical="center" wrapText="1"/>
    </xf>
    <xf numFmtId="0" fontId="2" fillId="2" borderId="5" xfId="22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" fontId="2" fillId="2" borderId="15" xfId="22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3" xfId="50"/>
  </cellStyles>
  <tableStyles count="0" defaultTableStyle="TableStyleMedium2" defaultPivotStyle="PivotStyleLight16"/>
  <colors>
    <mruColors>
      <color rgb="00FEDB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:AK52"/>
  <sheetViews>
    <sheetView showGridLines="0" tabSelected="1" zoomScale="70" zoomScaleNormal="70" workbookViewId="0">
      <selection activeCell="AD17" sqref="AD16:AD17"/>
    </sheetView>
  </sheetViews>
  <sheetFormatPr defaultColWidth="9" defaultRowHeight="15.6"/>
  <cols>
    <col min="1" max="1" width="9" style="5"/>
    <col min="2" max="2" width="11.3703703703704" style="5" customWidth="1"/>
    <col min="3" max="3" width="11.1018518518519" style="6" customWidth="1"/>
    <col min="4" max="4" width="9" style="5" customWidth="1"/>
    <col min="5" max="5" width="10.9722222222222" style="5" customWidth="1"/>
    <col min="6" max="6" width="18.5555555555556" style="5" customWidth="1"/>
    <col min="7" max="7" width="9.83333333333333" style="5" hidden="1" customWidth="1"/>
    <col min="8" max="8" width="5.55555555555556" style="5" hidden="1" customWidth="1"/>
    <col min="9" max="9" width="9" style="5"/>
    <col min="10" max="10" width="6.82407407407407" style="5" customWidth="1"/>
    <col min="11" max="11" width="8.72222222222222" style="5" customWidth="1"/>
    <col min="12" max="12" width="9" style="5" hidden="1" customWidth="1"/>
    <col min="13" max="14" width="9" style="5"/>
    <col min="15" max="15" width="9" style="5" hidden="1" customWidth="1"/>
    <col min="16" max="16" width="9" style="5"/>
    <col min="17" max="23" width="7.76851851851852" style="5" customWidth="1"/>
    <col min="24" max="24" width="12.0185185185185" style="5" hidden="1" customWidth="1"/>
    <col min="25" max="25" width="9.36111111111111" style="5" customWidth="1"/>
    <col min="26" max="26" width="9" style="5"/>
    <col min="27" max="33" width="8.25" style="5" customWidth="1"/>
    <col min="34" max="36" width="7.13888888888889" style="5" customWidth="1"/>
    <col min="37" max="16384" width="9" style="5"/>
  </cols>
  <sheetData>
    <row r="1" s="1" customFormat="1" ht="47.55" spans="1:37">
      <c r="A1" s="7" t="s">
        <v>0</v>
      </c>
      <c r="B1" s="8" t="s">
        <v>0</v>
      </c>
      <c r="C1" s="9"/>
      <c r="D1" s="10" t="s">
        <v>1</v>
      </c>
      <c r="E1" s="11" t="s">
        <v>2</v>
      </c>
      <c r="F1" s="11" t="s">
        <v>3</v>
      </c>
      <c r="G1" s="12" t="s">
        <v>4</v>
      </c>
      <c r="H1" s="12" t="s">
        <v>5</v>
      </c>
      <c r="I1" s="13" t="s">
        <v>6</v>
      </c>
      <c r="J1" s="14" t="s">
        <v>7</v>
      </c>
      <c r="K1" s="15" t="s">
        <v>8</v>
      </c>
      <c r="L1" s="16" t="s">
        <v>9</v>
      </c>
      <c r="M1" s="17" t="s">
        <v>10</v>
      </c>
      <c r="N1" s="18" t="s">
        <v>11</v>
      </c>
      <c r="O1" s="18" t="s">
        <v>12</v>
      </c>
      <c r="P1" s="19" t="s">
        <v>13</v>
      </c>
      <c r="Q1" s="18" t="s">
        <v>14</v>
      </c>
      <c r="R1" s="18" t="s">
        <v>15</v>
      </c>
      <c r="S1" s="18" t="s">
        <v>16</v>
      </c>
      <c r="T1" s="18" t="s">
        <v>17</v>
      </c>
      <c r="U1" s="20" t="s">
        <v>18</v>
      </c>
      <c r="V1" s="20" t="s">
        <v>19</v>
      </c>
      <c r="W1" s="21" t="s">
        <v>20</v>
      </c>
      <c r="X1" s="22" t="s">
        <v>21</v>
      </c>
      <c r="Y1" s="23" t="s">
        <v>22</v>
      </c>
      <c r="Z1" s="24" t="s">
        <v>23</v>
      </c>
      <c r="AA1" s="7" t="s">
        <v>24</v>
      </c>
      <c r="AB1" s="11"/>
      <c r="AC1" s="11"/>
      <c r="AD1" s="11"/>
      <c r="AE1" s="11"/>
      <c r="AF1" s="11"/>
      <c r="AG1" s="13"/>
      <c r="AH1" s="25" t="s">
        <v>25</v>
      </c>
      <c r="AI1" s="11"/>
      <c r="AJ1" s="11"/>
    </row>
    <row r="2" s="2" customFormat="1" ht="18.9" customHeight="1" spans="1:37">
      <c r="A2" s="26" t="s">
        <v>26</v>
      </c>
      <c r="B2" s="27" t="s">
        <v>27</v>
      </c>
      <c r="C2" s="27" t="s">
        <v>28</v>
      </c>
      <c r="D2" s="28" t="str">
        <f t="shared" ref="D2:D11" si="0">A2&amp;J2</f>
        <v>Ⅰ类L1</v>
      </c>
      <c r="E2" s="26" t="s">
        <v>29</v>
      </c>
      <c r="F2" s="28" t="s">
        <v>30</v>
      </c>
      <c r="G2" s="26" t="e" cm="1">
        <f t="array" ref="G2">INDEX(#REF!,MATCH(E2,#REF!,0),MATCH(F2,#REF!,0))</f>
        <v>#REF!</v>
      </c>
      <c r="H2" s="28" t="e">
        <f t="shared" ref="H2:H11" si="1">IF(G2=I2,1,0)</f>
        <v>#REF!</v>
      </c>
      <c r="I2" s="29">
        <v>4400</v>
      </c>
      <c r="J2" s="28" t="s">
        <v>31</v>
      </c>
      <c r="K2" s="30">
        <v>1200</v>
      </c>
      <c r="L2" s="28"/>
      <c r="M2" s="31">
        <f t="shared" ref="M2:M11" si="2">N2/Z2</f>
        <v>0.3</v>
      </c>
      <c r="N2" s="32">
        <v>2400</v>
      </c>
      <c r="O2" s="33"/>
      <c r="P2" s="34">
        <v>300</v>
      </c>
      <c r="Q2" s="35">
        <v>0</v>
      </c>
      <c r="R2" s="28">
        <f t="shared" ref="R2:R11" si="3">S2-P2</f>
        <v>1800</v>
      </c>
      <c r="S2" s="28">
        <f t="shared" ref="S2:S11" si="4">T2-P2</f>
        <v>2100</v>
      </c>
      <c r="T2" s="32">
        <f t="shared" ref="T2:T11" si="5">N2</f>
        <v>2400</v>
      </c>
      <c r="U2" s="28">
        <f t="shared" ref="U2:U11" si="6">T2+P2</f>
        <v>2700</v>
      </c>
      <c r="V2" s="28">
        <f t="shared" ref="V2:V11" si="7">U2+P2</f>
        <v>3000</v>
      </c>
      <c r="W2" s="33">
        <f t="shared" ref="W2:W11" si="8">V2+P2</f>
        <v>3300</v>
      </c>
      <c r="X2" s="36" t="s">
        <v>32</v>
      </c>
      <c r="Y2" s="35">
        <f t="shared" ref="Y2:Y11" si="9">AD2*12</f>
        <v>96000</v>
      </c>
      <c r="Z2" s="33">
        <f t="shared" ref="Z2:Z11" si="10">AD2</f>
        <v>8000</v>
      </c>
      <c r="AA2" s="37">
        <f t="shared" ref="AA2:AA11" si="11">I2+K2+Q2</f>
        <v>5600</v>
      </c>
      <c r="AB2" s="38">
        <f t="shared" ref="AB2:AB11" si="12">I2+K2+R2</f>
        <v>7400</v>
      </c>
      <c r="AC2" s="38">
        <f t="shared" ref="AC2:AC11" si="13">I2+K2+S2</f>
        <v>7700</v>
      </c>
      <c r="AD2" s="39">
        <f t="shared" ref="AD2:AD11" si="14">I2+K2+T2</f>
        <v>8000</v>
      </c>
      <c r="AE2" s="38">
        <f t="shared" ref="AE2:AE11" si="15">I2+K2+U2</f>
        <v>8300</v>
      </c>
      <c r="AF2" s="38">
        <f t="shared" ref="AF2:AF11" si="16">I2+K2+V2</f>
        <v>8600</v>
      </c>
      <c r="AG2" s="40">
        <f t="shared" ref="AG2:AG11" si="17">I2+K2+W2</f>
        <v>8900</v>
      </c>
      <c r="AH2" s="41">
        <f>I2/AD2</f>
        <v>0.55</v>
      </c>
      <c r="AI2" s="42">
        <f t="shared" ref="AI2:AI11" si="18">K2/AD2</f>
        <v>0.15</v>
      </c>
      <c r="AJ2" s="43">
        <f>T2/AD2</f>
        <v>0.3</v>
      </c>
    </row>
    <row r="3" s="2" customFormat="1" ht="18.9" customHeight="1" spans="1:37">
      <c r="A3" s="44" t="s">
        <v>26</v>
      </c>
      <c r="B3" s="45"/>
      <c r="C3" s="45"/>
      <c r="D3" s="46" t="str">
        <f t="shared" si="0"/>
        <v>Ⅰ类L1A</v>
      </c>
      <c r="E3" s="44" t="s">
        <v>29</v>
      </c>
      <c r="F3" s="46" t="s">
        <v>30</v>
      </c>
      <c r="G3" s="44" t="e" cm="1">
        <f t="array" ref="G3">INDEX(#REF!,MATCH(E3,#REF!,0),MATCH(F3,#REF!,0))</f>
        <v>#REF!</v>
      </c>
      <c r="H3" s="46" t="e">
        <f t="shared" si="1"/>
        <v>#REF!</v>
      </c>
      <c r="I3" s="47">
        <v>4400</v>
      </c>
      <c r="J3" s="46" t="s">
        <v>33</v>
      </c>
      <c r="K3" s="48">
        <v>1900</v>
      </c>
      <c r="L3" s="46">
        <f t="shared" ref="L3:L7" si="19">K3-K2</f>
        <v>700</v>
      </c>
      <c r="M3" s="49">
        <f t="shared" si="2"/>
        <v>0.32258064516129</v>
      </c>
      <c r="N3" s="50">
        <v>3000</v>
      </c>
      <c r="O3" s="51">
        <f t="shared" ref="O3:O7" si="20">N3-N2</f>
        <v>600</v>
      </c>
      <c r="P3" s="52">
        <v>400</v>
      </c>
      <c r="Q3" s="53">
        <v>200</v>
      </c>
      <c r="R3" s="46">
        <f t="shared" si="3"/>
        <v>2200</v>
      </c>
      <c r="S3" s="46">
        <f t="shared" si="4"/>
        <v>2600</v>
      </c>
      <c r="T3" s="50">
        <f t="shared" si="5"/>
        <v>3000</v>
      </c>
      <c r="U3" s="46">
        <f t="shared" si="6"/>
        <v>3400</v>
      </c>
      <c r="V3" s="46">
        <f t="shared" si="7"/>
        <v>3800</v>
      </c>
      <c r="W3" s="51">
        <f t="shared" si="8"/>
        <v>4200</v>
      </c>
      <c r="X3" s="54" t="s">
        <v>32</v>
      </c>
      <c r="Y3" s="53">
        <f t="shared" si="9"/>
        <v>111600</v>
      </c>
      <c r="Z3" s="51">
        <f t="shared" si="10"/>
        <v>9300</v>
      </c>
      <c r="AA3" s="55">
        <f t="shared" si="11"/>
        <v>6500</v>
      </c>
      <c r="AB3" s="2">
        <f t="shared" si="12"/>
        <v>8500</v>
      </c>
      <c r="AC3" s="2">
        <f t="shared" si="13"/>
        <v>8900</v>
      </c>
      <c r="AD3" s="56">
        <f t="shared" si="14"/>
        <v>9300</v>
      </c>
      <c r="AE3" s="2">
        <f t="shared" si="15"/>
        <v>9700</v>
      </c>
      <c r="AF3" s="2">
        <f t="shared" si="16"/>
        <v>10100</v>
      </c>
      <c r="AG3" s="57">
        <f t="shared" si="17"/>
        <v>10500</v>
      </c>
      <c r="AH3" s="41">
        <f>I3/AD3</f>
        <v>0.473118279569892</v>
      </c>
      <c r="AI3" s="42">
        <f t="shared" si="18"/>
        <v>0.204301075268817</v>
      </c>
      <c r="AJ3" s="43">
        <f>T3/AD3</f>
        <v>0.32258064516129</v>
      </c>
    </row>
    <row r="4" s="2" customFormat="1" ht="18.9" customHeight="1" spans="1:37">
      <c r="A4" s="44" t="s">
        <v>26</v>
      </c>
      <c r="B4" s="45"/>
      <c r="C4" s="45"/>
      <c r="D4" s="46" t="str">
        <f t="shared" si="0"/>
        <v>Ⅰ类L2</v>
      </c>
      <c r="E4" s="44" t="s">
        <v>29</v>
      </c>
      <c r="F4" s="46" t="s">
        <v>34</v>
      </c>
      <c r="G4" s="44" t="e" cm="1">
        <f t="array" ref="G4">INDEX(#REF!,MATCH(E4,#REF!,0),MATCH(F4,#REF!,0))</f>
        <v>#REF!</v>
      </c>
      <c r="H4" s="46" t="e">
        <f t="shared" si="1"/>
        <v>#REF!</v>
      </c>
      <c r="I4" s="47">
        <v>4800</v>
      </c>
      <c r="J4" s="46" t="s">
        <v>35</v>
      </c>
      <c r="K4" s="48">
        <v>2600</v>
      </c>
      <c r="L4" s="46">
        <f t="shared" si="19"/>
        <v>700</v>
      </c>
      <c r="M4" s="49">
        <f t="shared" si="2"/>
        <v>0.327272727272727</v>
      </c>
      <c r="N4" s="50">
        <v>3600</v>
      </c>
      <c r="O4" s="51">
        <f t="shared" si="20"/>
        <v>600</v>
      </c>
      <c r="P4" s="52">
        <v>500</v>
      </c>
      <c r="Q4" s="53">
        <f t="shared" ref="Q4:Q11" si="21">R4-P4</f>
        <v>2100</v>
      </c>
      <c r="R4" s="46">
        <f t="shared" si="3"/>
        <v>2600</v>
      </c>
      <c r="S4" s="46">
        <f t="shared" si="4"/>
        <v>3100</v>
      </c>
      <c r="T4" s="50">
        <f t="shared" si="5"/>
        <v>3600</v>
      </c>
      <c r="U4" s="46">
        <f t="shared" si="6"/>
        <v>4100</v>
      </c>
      <c r="V4" s="46">
        <f t="shared" si="7"/>
        <v>4600</v>
      </c>
      <c r="W4" s="51">
        <f t="shared" si="8"/>
        <v>5100</v>
      </c>
      <c r="X4" s="54" t="s">
        <v>36</v>
      </c>
      <c r="Y4" s="53">
        <f t="shared" si="9"/>
        <v>132000</v>
      </c>
      <c r="Z4" s="51">
        <f t="shared" si="10"/>
        <v>11000</v>
      </c>
      <c r="AA4" s="55">
        <f t="shared" si="11"/>
        <v>9500</v>
      </c>
      <c r="AB4" s="2">
        <f t="shared" si="12"/>
        <v>10000</v>
      </c>
      <c r="AC4" s="2">
        <f t="shared" si="13"/>
        <v>10500</v>
      </c>
      <c r="AD4" s="56">
        <f t="shared" si="14"/>
        <v>11000</v>
      </c>
      <c r="AE4" s="2">
        <f t="shared" si="15"/>
        <v>11500</v>
      </c>
      <c r="AF4" s="2">
        <f t="shared" si="16"/>
        <v>12000</v>
      </c>
      <c r="AG4" s="57">
        <f t="shared" si="17"/>
        <v>12500</v>
      </c>
      <c r="AH4" s="41">
        <f>I4/AD4</f>
        <v>0.436363636363636</v>
      </c>
      <c r="AI4" s="58">
        <f t="shared" si="18"/>
        <v>0.236363636363636</v>
      </c>
      <c r="AJ4" s="43">
        <f>T4/AD4</f>
        <v>0.327272727272727</v>
      </c>
    </row>
    <row r="5" s="2" customFormat="1" ht="18.9" customHeight="1" spans="1:37">
      <c r="A5" s="44" t="s">
        <v>26</v>
      </c>
      <c r="B5" s="45"/>
      <c r="C5" s="45"/>
      <c r="D5" s="46" t="str">
        <f t="shared" si="0"/>
        <v>Ⅰ类L3</v>
      </c>
      <c r="E5" s="44" t="s">
        <v>29</v>
      </c>
      <c r="F5" s="46" t="s">
        <v>37</v>
      </c>
      <c r="G5" s="44" t="e" cm="1">
        <f t="array" ref="G5">INDEX(#REF!,MATCH(E5,#REF!,0),MATCH(F5,#REF!,0))</f>
        <v>#REF!</v>
      </c>
      <c r="H5" s="46" t="e">
        <f t="shared" si="1"/>
        <v>#REF!</v>
      </c>
      <c r="I5" s="47">
        <v>5600</v>
      </c>
      <c r="J5" s="46" t="s">
        <v>38</v>
      </c>
      <c r="K5" s="48">
        <v>4100</v>
      </c>
      <c r="L5" s="59">
        <f t="shared" si="19"/>
        <v>1500</v>
      </c>
      <c r="M5" s="49">
        <f t="shared" si="2"/>
        <v>0.353333333333333</v>
      </c>
      <c r="N5" s="50">
        <v>5300</v>
      </c>
      <c r="O5" s="60">
        <f t="shared" si="20"/>
        <v>1700</v>
      </c>
      <c r="P5" s="52">
        <v>600</v>
      </c>
      <c r="Q5" s="53">
        <f t="shared" si="21"/>
        <v>3500</v>
      </c>
      <c r="R5" s="46">
        <f t="shared" si="3"/>
        <v>4100</v>
      </c>
      <c r="S5" s="46">
        <f t="shared" si="4"/>
        <v>4700</v>
      </c>
      <c r="T5" s="50">
        <f t="shared" si="5"/>
        <v>5300</v>
      </c>
      <c r="U5" s="46">
        <f t="shared" si="6"/>
        <v>5900</v>
      </c>
      <c r="V5" s="46">
        <f t="shared" si="7"/>
        <v>6500</v>
      </c>
      <c r="W5" s="51">
        <f t="shared" si="8"/>
        <v>7100</v>
      </c>
      <c r="X5" s="54" t="s">
        <v>39</v>
      </c>
      <c r="Y5" s="53">
        <f t="shared" si="9"/>
        <v>180000</v>
      </c>
      <c r="Z5" s="51">
        <f t="shared" si="10"/>
        <v>15000</v>
      </c>
      <c r="AA5" s="55">
        <f t="shared" si="11"/>
        <v>13200</v>
      </c>
      <c r="AB5" s="2">
        <f t="shared" si="12"/>
        <v>13800</v>
      </c>
      <c r="AC5" s="2">
        <f t="shared" si="13"/>
        <v>14400</v>
      </c>
      <c r="AD5" s="56">
        <f t="shared" si="14"/>
        <v>15000</v>
      </c>
      <c r="AE5" s="2">
        <f t="shared" si="15"/>
        <v>15600</v>
      </c>
      <c r="AF5" s="2">
        <f t="shared" si="16"/>
        <v>16200</v>
      </c>
      <c r="AG5" s="57">
        <f t="shared" si="17"/>
        <v>16800</v>
      </c>
      <c r="AH5" s="42">
        <f t="shared" ref="AH5:AH11" si="22">I5/AD5</f>
        <v>0.373333333333333</v>
      </c>
      <c r="AI5" s="42">
        <f t="shared" si="18"/>
        <v>0.273333333333333</v>
      </c>
      <c r="AJ5" s="43">
        <f t="shared" ref="AJ5:AJ11" si="23">T5/AD5</f>
        <v>0.353333333333333</v>
      </c>
    </row>
    <row r="6" s="2" customFormat="1" ht="18.9" customHeight="1" spans="1:37">
      <c r="A6" s="44" t="s">
        <v>26</v>
      </c>
      <c r="B6" s="45"/>
      <c r="C6" s="45"/>
      <c r="D6" s="46" t="str">
        <f t="shared" si="0"/>
        <v>Ⅰ类L4</v>
      </c>
      <c r="E6" s="44" t="s">
        <v>29</v>
      </c>
      <c r="F6" s="46" t="s">
        <v>40</v>
      </c>
      <c r="G6" s="44" t="e" cm="1">
        <f t="array" ref="G6">INDEX(#REF!,MATCH(E6,#REF!,0),MATCH(F6,#REF!,0))</f>
        <v>#REF!</v>
      </c>
      <c r="H6" s="46" t="e">
        <f t="shared" si="1"/>
        <v>#REF!</v>
      </c>
      <c r="I6" s="47">
        <v>6600</v>
      </c>
      <c r="J6" s="46" t="s">
        <v>41</v>
      </c>
      <c r="K6" s="48">
        <v>5700</v>
      </c>
      <c r="L6" s="59">
        <f t="shared" si="19"/>
        <v>1600</v>
      </c>
      <c r="M6" s="49">
        <f t="shared" si="2"/>
        <v>0.362694300518135</v>
      </c>
      <c r="N6" s="50">
        <v>7000</v>
      </c>
      <c r="O6" s="60">
        <f t="shared" si="20"/>
        <v>1700</v>
      </c>
      <c r="P6" s="52">
        <v>700</v>
      </c>
      <c r="Q6" s="53">
        <f t="shared" si="21"/>
        <v>4900</v>
      </c>
      <c r="R6" s="46">
        <f t="shared" si="3"/>
        <v>5600</v>
      </c>
      <c r="S6" s="46">
        <f t="shared" si="4"/>
        <v>6300</v>
      </c>
      <c r="T6" s="50">
        <f t="shared" si="5"/>
        <v>7000</v>
      </c>
      <c r="U6" s="46">
        <f t="shared" si="6"/>
        <v>7700</v>
      </c>
      <c r="V6" s="46">
        <f t="shared" si="7"/>
        <v>8400</v>
      </c>
      <c r="W6" s="51">
        <f t="shared" si="8"/>
        <v>9100</v>
      </c>
      <c r="X6" s="54" t="s">
        <v>42</v>
      </c>
      <c r="Y6" s="53">
        <f t="shared" si="9"/>
        <v>231600</v>
      </c>
      <c r="Z6" s="51">
        <f t="shared" si="10"/>
        <v>19300</v>
      </c>
      <c r="AA6" s="55">
        <f t="shared" si="11"/>
        <v>17200</v>
      </c>
      <c r="AB6" s="2">
        <f t="shared" si="12"/>
        <v>17900</v>
      </c>
      <c r="AC6" s="2">
        <f t="shared" si="13"/>
        <v>18600</v>
      </c>
      <c r="AD6" s="56">
        <f t="shared" si="14"/>
        <v>19300</v>
      </c>
      <c r="AE6" s="2">
        <f t="shared" si="15"/>
        <v>20000</v>
      </c>
      <c r="AF6" s="2">
        <f t="shared" si="16"/>
        <v>20700</v>
      </c>
      <c r="AG6" s="57">
        <f t="shared" si="17"/>
        <v>21400</v>
      </c>
      <c r="AH6" s="42">
        <f t="shared" si="22"/>
        <v>0.341968911917098</v>
      </c>
      <c r="AI6" s="42">
        <f t="shared" si="18"/>
        <v>0.295336787564767</v>
      </c>
      <c r="AJ6" s="43">
        <f t="shared" si="23"/>
        <v>0.362694300518135</v>
      </c>
    </row>
    <row r="7" s="2" customFormat="1" ht="18.9" customHeight="1" spans="1:37">
      <c r="A7" s="61" t="s">
        <v>26</v>
      </c>
      <c r="B7" s="62"/>
      <c r="C7" s="62"/>
      <c r="D7" s="63" t="str">
        <f t="shared" si="0"/>
        <v>Ⅰ类L5</v>
      </c>
      <c r="E7" s="44" t="s">
        <v>29</v>
      </c>
      <c r="F7" s="46" t="s">
        <v>40</v>
      </c>
      <c r="G7" s="44" t="e" cm="1">
        <f t="array" ref="G7">INDEX(#REF!,MATCH(E7,#REF!,0),MATCH(F7,#REF!,0))</f>
        <v>#REF!</v>
      </c>
      <c r="H7" s="46" t="e">
        <f t="shared" si="1"/>
        <v>#REF!</v>
      </c>
      <c r="I7" s="47">
        <v>6600</v>
      </c>
      <c r="J7" s="63" t="s">
        <v>43</v>
      </c>
      <c r="K7" s="64">
        <v>8700</v>
      </c>
      <c r="L7" s="63">
        <f t="shared" si="19"/>
        <v>3000</v>
      </c>
      <c r="M7" s="65">
        <f t="shared" si="2"/>
        <v>0.395256916996047</v>
      </c>
      <c r="N7" s="66">
        <v>10000</v>
      </c>
      <c r="O7" s="67">
        <f t="shared" si="20"/>
        <v>3000</v>
      </c>
      <c r="P7" s="68">
        <v>800</v>
      </c>
      <c r="Q7" s="69">
        <f t="shared" si="21"/>
        <v>7600</v>
      </c>
      <c r="R7" s="63">
        <f t="shared" si="3"/>
        <v>8400</v>
      </c>
      <c r="S7" s="63">
        <f t="shared" si="4"/>
        <v>9200</v>
      </c>
      <c r="T7" s="66">
        <f t="shared" si="5"/>
        <v>10000</v>
      </c>
      <c r="U7" s="63">
        <f t="shared" si="6"/>
        <v>10800</v>
      </c>
      <c r="V7" s="63">
        <f t="shared" si="7"/>
        <v>11600</v>
      </c>
      <c r="W7" s="67">
        <f t="shared" si="8"/>
        <v>12400</v>
      </c>
      <c r="X7" s="70" t="s">
        <v>44</v>
      </c>
      <c r="Y7" s="69">
        <f t="shared" si="9"/>
        <v>303600</v>
      </c>
      <c r="Z7" s="67">
        <f t="shared" si="10"/>
        <v>25300</v>
      </c>
      <c r="AA7" s="71">
        <f t="shared" si="11"/>
        <v>22900</v>
      </c>
      <c r="AB7" s="72">
        <f t="shared" si="12"/>
        <v>23700</v>
      </c>
      <c r="AC7" s="72">
        <f t="shared" si="13"/>
        <v>24500</v>
      </c>
      <c r="AD7" s="73">
        <f t="shared" si="14"/>
        <v>25300</v>
      </c>
      <c r="AE7" s="72">
        <f t="shared" si="15"/>
        <v>26100</v>
      </c>
      <c r="AF7" s="72">
        <f t="shared" si="16"/>
        <v>26900</v>
      </c>
      <c r="AG7" s="74">
        <f t="shared" si="17"/>
        <v>27700</v>
      </c>
      <c r="AH7" s="75">
        <f t="shared" si="22"/>
        <v>0.260869565217391</v>
      </c>
      <c r="AI7" s="76">
        <f t="shared" si="18"/>
        <v>0.343873517786561</v>
      </c>
      <c r="AJ7" s="77">
        <f t="shared" si="23"/>
        <v>0.395256916996047</v>
      </c>
    </row>
    <row r="8" s="2" customFormat="1" ht="18.9" customHeight="1" spans="1:37">
      <c r="A8" s="44" t="s">
        <v>45</v>
      </c>
      <c r="B8" s="26" t="s">
        <v>46</v>
      </c>
      <c r="C8" s="33"/>
      <c r="D8" s="46" t="str">
        <f t="shared" si="0"/>
        <v>Ⅱ类L1</v>
      </c>
      <c r="E8" s="26" t="s">
        <v>29</v>
      </c>
      <c r="F8" s="28" t="s">
        <v>30</v>
      </c>
      <c r="G8" s="26" t="e" cm="1">
        <f t="array" ref="G8">INDEX(#REF!,MATCH(E8,#REF!,0),MATCH(F8,#REF!,0))</f>
        <v>#REF!</v>
      </c>
      <c r="H8" s="28" t="e">
        <f t="shared" si="1"/>
        <v>#REF!</v>
      </c>
      <c r="I8" s="29">
        <v>4400</v>
      </c>
      <c r="J8" s="46" t="s">
        <v>31</v>
      </c>
      <c r="K8" s="48">
        <v>300</v>
      </c>
      <c r="L8" s="46"/>
      <c r="M8" s="31">
        <f t="shared" si="2"/>
        <v>0.276923076923077</v>
      </c>
      <c r="N8" s="32">
        <v>1800</v>
      </c>
      <c r="O8" s="33"/>
      <c r="P8" s="52">
        <v>50</v>
      </c>
      <c r="Q8" s="46">
        <f t="shared" si="21"/>
        <v>1650</v>
      </c>
      <c r="R8" s="46">
        <f t="shared" si="3"/>
        <v>1700</v>
      </c>
      <c r="S8" s="46">
        <f t="shared" si="4"/>
        <v>1750</v>
      </c>
      <c r="T8" s="78">
        <f t="shared" si="5"/>
        <v>1800</v>
      </c>
      <c r="U8" s="46">
        <f t="shared" si="6"/>
        <v>1850</v>
      </c>
      <c r="V8" s="46">
        <f t="shared" si="7"/>
        <v>1900</v>
      </c>
      <c r="W8" s="51">
        <f t="shared" si="8"/>
        <v>1950</v>
      </c>
      <c r="X8" s="54" t="s">
        <v>32</v>
      </c>
      <c r="Y8" s="53">
        <f t="shared" si="9"/>
        <v>78000</v>
      </c>
      <c r="Z8" s="51">
        <f t="shared" si="10"/>
        <v>6500</v>
      </c>
      <c r="AA8" s="2">
        <f t="shared" si="11"/>
        <v>6350</v>
      </c>
      <c r="AB8" s="2">
        <f t="shared" si="12"/>
        <v>6400</v>
      </c>
      <c r="AC8" s="2">
        <f t="shared" si="13"/>
        <v>6450</v>
      </c>
      <c r="AD8" s="56">
        <f t="shared" si="14"/>
        <v>6500</v>
      </c>
      <c r="AE8" s="2">
        <f t="shared" si="15"/>
        <v>6550</v>
      </c>
      <c r="AF8" s="2">
        <f t="shared" si="16"/>
        <v>6600</v>
      </c>
      <c r="AG8" s="57">
        <f t="shared" si="17"/>
        <v>6650</v>
      </c>
      <c r="AH8" s="41">
        <f t="shared" si="22"/>
        <v>0.676923076923077</v>
      </c>
      <c r="AI8" s="58">
        <f t="shared" si="18"/>
        <v>0.0461538461538462</v>
      </c>
      <c r="AJ8" s="43">
        <f t="shared" si="23"/>
        <v>0.276923076923077</v>
      </c>
      <c r="AK8" s="79"/>
    </row>
    <row r="9" s="2" customFormat="1" ht="18.9" customHeight="1" spans="1:37">
      <c r="A9" s="44" t="s">
        <v>45</v>
      </c>
      <c r="B9" s="44"/>
      <c r="C9" s="51"/>
      <c r="D9" s="46" t="str">
        <f t="shared" si="0"/>
        <v>Ⅱ类L1A</v>
      </c>
      <c r="E9" s="44" t="s">
        <v>29</v>
      </c>
      <c r="F9" s="46" t="s">
        <v>30</v>
      </c>
      <c r="G9" s="44" t="e" cm="1">
        <f t="array" ref="G9">INDEX(#REF!,MATCH(E9,#REF!,0),MATCH(F9,#REF!,0))</f>
        <v>#REF!</v>
      </c>
      <c r="H9" s="46" t="e">
        <f t="shared" si="1"/>
        <v>#REF!</v>
      </c>
      <c r="I9" s="47">
        <v>4400</v>
      </c>
      <c r="J9" s="46" t="s">
        <v>33</v>
      </c>
      <c r="K9" s="48">
        <v>600</v>
      </c>
      <c r="L9" s="46">
        <f t="shared" ref="L9:L11" si="24">K9-K8</f>
        <v>300</v>
      </c>
      <c r="M9" s="49">
        <f t="shared" si="2"/>
        <v>0.315068493150685</v>
      </c>
      <c r="N9" s="50">
        <v>2300</v>
      </c>
      <c r="O9" s="51">
        <f t="shared" ref="O9:O11" si="25">N9-N8</f>
        <v>500</v>
      </c>
      <c r="P9" s="52">
        <v>150</v>
      </c>
      <c r="Q9" s="46">
        <f t="shared" si="21"/>
        <v>1850</v>
      </c>
      <c r="R9" s="46">
        <f t="shared" si="3"/>
        <v>2000</v>
      </c>
      <c r="S9" s="46">
        <f t="shared" si="4"/>
        <v>2150</v>
      </c>
      <c r="T9" s="78">
        <f t="shared" si="5"/>
        <v>2300</v>
      </c>
      <c r="U9" s="46">
        <f t="shared" si="6"/>
        <v>2450</v>
      </c>
      <c r="V9" s="46">
        <f t="shared" si="7"/>
        <v>2600</v>
      </c>
      <c r="W9" s="51">
        <f t="shared" si="8"/>
        <v>2750</v>
      </c>
      <c r="X9" s="54"/>
      <c r="Y9" s="53">
        <f t="shared" si="9"/>
        <v>87600</v>
      </c>
      <c r="Z9" s="51">
        <f t="shared" si="10"/>
        <v>7300</v>
      </c>
      <c r="AA9" s="2">
        <f t="shared" si="11"/>
        <v>6850</v>
      </c>
      <c r="AB9" s="2">
        <f t="shared" si="12"/>
        <v>7000</v>
      </c>
      <c r="AC9" s="2">
        <f t="shared" si="13"/>
        <v>7150</v>
      </c>
      <c r="AD9" s="56">
        <f t="shared" si="14"/>
        <v>7300</v>
      </c>
      <c r="AE9" s="2">
        <f t="shared" si="15"/>
        <v>7450</v>
      </c>
      <c r="AF9" s="2">
        <f t="shared" si="16"/>
        <v>7600</v>
      </c>
      <c r="AG9" s="57">
        <f t="shared" si="17"/>
        <v>7750</v>
      </c>
      <c r="AH9" s="41">
        <f t="shared" si="22"/>
        <v>0.602739726027397</v>
      </c>
      <c r="AI9" s="58">
        <f t="shared" si="18"/>
        <v>0.0821917808219178</v>
      </c>
      <c r="AJ9" s="43">
        <f t="shared" si="23"/>
        <v>0.315068493150685</v>
      </c>
    </row>
    <row r="10" s="2" customFormat="1" ht="18.9" customHeight="1" spans="1:37">
      <c r="A10" s="44" t="s">
        <v>45</v>
      </c>
      <c r="B10" s="44"/>
      <c r="C10" s="51"/>
      <c r="D10" s="46" t="str">
        <f t="shared" si="0"/>
        <v>Ⅱ类L2</v>
      </c>
      <c r="E10" s="44" t="s">
        <v>29</v>
      </c>
      <c r="F10" s="46" t="s">
        <v>34</v>
      </c>
      <c r="G10" s="44" t="e" cm="1">
        <f t="array" ref="G10">INDEX(#REF!,MATCH(E10,#REF!,0),MATCH(F10,#REF!,0))</f>
        <v>#REF!</v>
      </c>
      <c r="H10" s="46" t="e">
        <f t="shared" si="1"/>
        <v>#REF!</v>
      </c>
      <c r="I10" s="47">
        <v>4800</v>
      </c>
      <c r="J10" s="46" t="s">
        <v>35</v>
      </c>
      <c r="K10" s="48">
        <v>1000</v>
      </c>
      <c r="L10" s="46">
        <f t="shared" si="24"/>
        <v>400</v>
      </c>
      <c r="M10" s="49">
        <f t="shared" si="2"/>
        <v>0.292682926829268</v>
      </c>
      <c r="N10" s="50">
        <v>2400</v>
      </c>
      <c r="O10" s="51">
        <f t="shared" si="25"/>
        <v>100</v>
      </c>
      <c r="P10" s="52">
        <v>300</v>
      </c>
      <c r="Q10" s="53">
        <f t="shared" si="21"/>
        <v>1500</v>
      </c>
      <c r="R10" s="46">
        <f t="shared" si="3"/>
        <v>1800</v>
      </c>
      <c r="S10" s="46">
        <f t="shared" si="4"/>
        <v>2100</v>
      </c>
      <c r="T10" s="78">
        <f t="shared" si="5"/>
        <v>2400</v>
      </c>
      <c r="U10" s="46">
        <f t="shared" si="6"/>
        <v>2700</v>
      </c>
      <c r="V10" s="46">
        <f t="shared" si="7"/>
        <v>3000</v>
      </c>
      <c r="W10" s="51">
        <f t="shared" si="8"/>
        <v>3300</v>
      </c>
      <c r="X10" s="54" t="s">
        <v>36</v>
      </c>
      <c r="Y10" s="53">
        <f t="shared" si="9"/>
        <v>98400</v>
      </c>
      <c r="Z10" s="51">
        <f t="shared" si="10"/>
        <v>8200</v>
      </c>
      <c r="AA10" s="2">
        <f t="shared" si="11"/>
        <v>7300</v>
      </c>
      <c r="AB10" s="2">
        <f t="shared" si="12"/>
        <v>7600</v>
      </c>
      <c r="AC10" s="2">
        <f t="shared" si="13"/>
        <v>7900</v>
      </c>
      <c r="AD10" s="56">
        <f t="shared" si="14"/>
        <v>8200</v>
      </c>
      <c r="AE10" s="2">
        <f t="shared" si="15"/>
        <v>8500</v>
      </c>
      <c r="AF10" s="2">
        <f t="shared" si="16"/>
        <v>8800</v>
      </c>
      <c r="AG10" s="57">
        <f t="shared" si="17"/>
        <v>9100</v>
      </c>
      <c r="AH10" s="41">
        <f t="shared" si="22"/>
        <v>0.585365853658537</v>
      </c>
      <c r="AI10" s="58">
        <f t="shared" si="18"/>
        <v>0.121951219512195</v>
      </c>
      <c r="AJ10" s="43">
        <f t="shared" si="23"/>
        <v>0.292682926829268</v>
      </c>
    </row>
    <row r="11" s="2" customFormat="1" ht="18.9" customHeight="1" spans="1:37">
      <c r="A11" s="61" t="s">
        <v>45</v>
      </c>
      <c r="B11" s="61"/>
      <c r="C11" s="67"/>
      <c r="D11" s="63" t="str">
        <f t="shared" si="0"/>
        <v>Ⅱ类L3</v>
      </c>
      <c r="E11" s="61" t="s">
        <v>29</v>
      </c>
      <c r="F11" s="63" t="s">
        <v>37</v>
      </c>
      <c r="G11" s="61" t="e" cm="1">
        <f t="array" ref="G11">INDEX(#REF!,MATCH(E11,#REF!,0),MATCH(F11,#REF!,0))</f>
        <v>#REF!</v>
      </c>
      <c r="H11" s="63" t="e">
        <f t="shared" si="1"/>
        <v>#REF!</v>
      </c>
      <c r="I11" s="80">
        <v>5600</v>
      </c>
      <c r="J11" s="63" t="s">
        <v>38</v>
      </c>
      <c r="K11" s="64">
        <v>2700</v>
      </c>
      <c r="L11" s="63">
        <f t="shared" si="24"/>
        <v>1700</v>
      </c>
      <c r="M11" s="65">
        <f t="shared" si="2"/>
        <v>0.31404958677686</v>
      </c>
      <c r="N11" s="66">
        <v>3800</v>
      </c>
      <c r="O11" s="67">
        <f t="shared" si="25"/>
        <v>1400</v>
      </c>
      <c r="P11" s="68">
        <v>500</v>
      </c>
      <c r="Q11" s="69">
        <f t="shared" si="21"/>
        <v>2300</v>
      </c>
      <c r="R11" s="63">
        <f t="shared" si="3"/>
        <v>2800</v>
      </c>
      <c r="S11" s="63">
        <f t="shared" si="4"/>
        <v>3300</v>
      </c>
      <c r="T11" s="81">
        <f t="shared" si="5"/>
        <v>3800</v>
      </c>
      <c r="U11" s="63">
        <f t="shared" si="6"/>
        <v>4300</v>
      </c>
      <c r="V11" s="63">
        <f t="shared" si="7"/>
        <v>4800</v>
      </c>
      <c r="W11" s="67">
        <f t="shared" si="8"/>
        <v>5300</v>
      </c>
      <c r="X11" s="70" t="s">
        <v>39</v>
      </c>
      <c r="Y11" s="69">
        <f t="shared" si="9"/>
        <v>145200</v>
      </c>
      <c r="Z11" s="67">
        <f t="shared" si="10"/>
        <v>12100</v>
      </c>
      <c r="AA11" s="72">
        <f t="shared" si="11"/>
        <v>10600</v>
      </c>
      <c r="AB11" s="72">
        <f t="shared" si="12"/>
        <v>11100</v>
      </c>
      <c r="AC11" s="72">
        <f t="shared" si="13"/>
        <v>11600</v>
      </c>
      <c r="AD11" s="73">
        <f t="shared" si="14"/>
        <v>12100</v>
      </c>
      <c r="AE11" s="72">
        <f t="shared" si="15"/>
        <v>12600</v>
      </c>
      <c r="AF11" s="72">
        <f t="shared" si="16"/>
        <v>13100</v>
      </c>
      <c r="AG11" s="74">
        <f t="shared" si="17"/>
        <v>13600</v>
      </c>
      <c r="AH11" s="82">
        <f t="shared" si="22"/>
        <v>0.462809917355372</v>
      </c>
      <c r="AI11" s="76">
        <f t="shared" si="18"/>
        <v>0.223140495867769</v>
      </c>
      <c r="AJ11" s="77">
        <f t="shared" si="23"/>
        <v>0.31404958677686</v>
      </c>
    </row>
    <row r="13" s="3" customFormat="1" ht="47.55" spans="1:37">
      <c r="A13" s="83" t="s">
        <v>0</v>
      </c>
      <c r="B13" s="84" t="s">
        <v>0</v>
      </c>
      <c r="C13" s="84"/>
      <c r="D13" s="85" t="s">
        <v>1</v>
      </c>
      <c r="E13" s="86" t="s">
        <v>2</v>
      </c>
      <c r="F13" s="86" t="s">
        <v>3</v>
      </c>
      <c r="G13" s="12" t="s">
        <v>47</v>
      </c>
      <c r="H13" s="12" t="s">
        <v>5</v>
      </c>
      <c r="I13" s="87" t="s">
        <v>6</v>
      </c>
      <c r="J13" s="88" t="s">
        <v>7</v>
      </c>
      <c r="K13" s="89" t="s">
        <v>8</v>
      </c>
      <c r="L13" s="90" t="s">
        <v>9</v>
      </c>
      <c r="M13" s="17" t="s">
        <v>10</v>
      </c>
      <c r="N13" s="18" t="s">
        <v>11</v>
      </c>
      <c r="O13" s="91" t="s">
        <v>12</v>
      </c>
      <c r="P13" s="92" t="s">
        <v>13</v>
      </c>
      <c r="Q13" s="93" t="s">
        <v>14</v>
      </c>
      <c r="R13" s="93" t="s">
        <v>15</v>
      </c>
      <c r="S13" s="93" t="s">
        <v>16</v>
      </c>
      <c r="T13" s="93" t="s">
        <v>17</v>
      </c>
      <c r="U13" s="94" t="s">
        <v>18</v>
      </c>
      <c r="V13" s="94" t="s">
        <v>19</v>
      </c>
      <c r="W13" s="95" t="s">
        <v>20</v>
      </c>
      <c r="X13" s="96" t="s">
        <v>21</v>
      </c>
      <c r="Y13" s="97" t="s">
        <v>22</v>
      </c>
      <c r="Z13" s="98" t="s">
        <v>23</v>
      </c>
      <c r="AA13" s="99" t="s">
        <v>24</v>
      </c>
      <c r="AB13" s="84"/>
      <c r="AC13" s="84"/>
      <c r="AD13" s="84"/>
      <c r="AE13" s="84"/>
      <c r="AF13" s="84"/>
      <c r="AG13" s="87"/>
      <c r="AH13" s="100" t="s">
        <v>25</v>
      </c>
      <c r="AI13" s="84"/>
      <c r="AJ13" s="84"/>
    </row>
    <row r="14" s="4" customFormat="1" ht="18.95" customHeight="1" spans="1:37">
      <c r="A14" s="44" t="s">
        <v>26</v>
      </c>
      <c r="B14" s="101" t="s">
        <v>48</v>
      </c>
      <c r="C14" s="102" t="s">
        <v>49</v>
      </c>
      <c r="D14" s="51" t="str">
        <f t="shared" ref="D14:D21" si="26">A14&amp;J14</f>
        <v>Ⅰ类L1</v>
      </c>
      <c r="E14" s="44" t="s">
        <v>29</v>
      </c>
      <c r="F14" s="103" t="s">
        <v>34</v>
      </c>
      <c r="G14" s="26" t="e" cm="1">
        <f t="array" ref="G14">INDEX(#REF!,MATCH(E14,#REF!,0),MATCH(F14,#REF!,0))</f>
        <v>#REF!</v>
      </c>
      <c r="H14" s="28" t="e">
        <f t="shared" ref="H14:H21" si="27">IF(G14=I14,1,0)</f>
        <v>#REF!</v>
      </c>
      <c r="I14" s="29">
        <v>4800</v>
      </c>
      <c r="J14" s="46" t="s">
        <v>31</v>
      </c>
      <c r="K14" s="48">
        <v>1200</v>
      </c>
      <c r="L14" s="26"/>
      <c r="M14" s="31">
        <f t="shared" ref="M14:M21" si="28">N14/AD14</f>
        <v>0.268292682926829</v>
      </c>
      <c r="N14" s="32">
        <v>2200</v>
      </c>
      <c r="O14" s="33"/>
      <c r="P14" s="104">
        <v>300</v>
      </c>
      <c r="Q14" s="105">
        <v>0</v>
      </c>
      <c r="R14" s="46">
        <f t="shared" ref="R14:R21" si="29">S14-P14</f>
        <v>1600</v>
      </c>
      <c r="S14" s="46">
        <f t="shared" ref="S14:S21" si="30">T14-P14</f>
        <v>1900</v>
      </c>
      <c r="T14" s="50">
        <f t="shared" ref="T14:T21" si="31">N14</f>
        <v>2200</v>
      </c>
      <c r="U14" s="46">
        <f t="shared" ref="U14:U21" si="32">T14+P14</f>
        <v>2500</v>
      </c>
      <c r="V14" s="46">
        <f t="shared" ref="V14:V21" si="33">U14+P14</f>
        <v>2800</v>
      </c>
      <c r="W14" s="51">
        <f t="shared" ref="W14:W21" si="34">V14+P14</f>
        <v>3100</v>
      </c>
      <c r="X14" s="35" t="s">
        <v>32</v>
      </c>
      <c r="Y14" s="35">
        <f t="shared" ref="Y14:Y21" si="35">AD14*12</f>
        <v>98400</v>
      </c>
      <c r="Z14" s="33">
        <f t="shared" ref="Z14:Z21" si="36">AD14</f>
        <v>8200</v>
      </c>
      <c r="AA14" s="106">
        <f t="shared" ref="AA14:AA21" si="37">I14+K14+Q14</f>
        <v>6000</v>
      </c>
      <c r="AB14" s="4">
        <f t="shared" ref="AB14:AB21" si="38">I14+K14+R14</f>
        <v>7600</v>
      </c>
      <c r="AC14" s="4">
        <f t="shared" ref="AC14:AC21" si="39">I14+K14+S14</f>
        <v>7900</v>
      </c>
      <c r="AD14" s="107">
        <f t="shared" ref="AD14:AD21" si="40">I14+K14+T14</f>
        <v>8200</v>
      </c>
      <c r="AE14" s="4">
        <f t="shared" ref="AE14:AE21" si="41">I14+K14+U14</f>
        <v>8500</v>
      </c>
      <c r="AF14" s="4">
        <f t="shared" ref="AF14:AF21" si="42">I14+K14+V14</f>
        <v>8800</v>
      </c>
      <c r="AG14" s="108">
        <f t="shared" ref="AG14:AG21" si="43">I14+K14+W14</f>
        <v>9100</v>
      </c>
      <c r="AH14" s="41">
        <f t="shared" ref="AH14:AH21" si="44">I14/AD14</f>
        <v>0.585365853658537</v>
      </c>
      <c r="AI14" s="42">
        <f t="shared" ref="AI14:AI21" si="45">K14/AD14</f>
        <v>0.146341463414634</v>
      </c>
      <c r="AJ14" s="43">
        <f t="shared" ref="AJ14:AJ21" si="46">T14/AD14</f>
        <v>0.268292682926829</v>
      </c>
      <c r="AK14" s="3"/>
    </row>
    <row r="15" s="4" customFormat="1" ht="18.95" customHeight="1" spans="1:37">
      <c r="A15" s="44" t="s">
        <v>26</v>
      </c>
      <c r="B15" s="109"/>
      <c r="C15" s="110"/>
      <c r="D15" s="51" t="str">
        <f t="shared" si="26"/>
        <v>Ⅰ类L1A</v>
      </c>
      <c r="E15" s="44" t="s">
        <v>29</v>
      </c>
      <c r="F15" s="103" t="s">
        <v>34</v>
      </c>
      <c r="G15" s="44" t="e" cm="1">
        <f t="array" ref="G15">INDEX(#REF!,MATCH(E15,#REF!,0),MATCH(F15,#REF!,0))</f>
        <v>#REF!</v>
      </c>
      <c r="H15" s="46" t="e">
        <f t="shared" si="27"/>
        <v>#REF!</v>
      </c>
      <c r="I15" s="47">
        <v>4800</v>
      </c>
      <c r="J15" s="46" t="s">
        <v>33</v>
      </c>
      <c r="K15" s="48">
        <v>1600</v>
      </c>
      <c r="L15" s="44">
        <f t="shared" ref="L15:L19" si="47">K15-K14</f>
        <v>400</v>
      </c>
      <c r="M15" s="49">
        <f t="shared" si="28"/>
        <v>0.319148936170213</v>
      </c>
      <c r="N15" s="50">
        <v>3000</v>
      </c>
      <c r="O15" s="51">
        <f t="shared" ref="O15:O19" si="48">N15-N14</f>
        <v>800</v>
      </c>
      <c r="P15" s="111">
        <v>400</v>
      </c>
      <c r="Q15" s="105">
        <f t="shared" ref="Q15:Q19" si="49">R15-P15</f>
        <v>1800</v>
      </c>
      <c r="R15" s="46">
        <f t="shared" si="29"/>
        <v>2200</v>
      </c>
      <c r="S15" s="46">
        <f t="shared" si="30"/>
        <v>2600</v>
      </c>
      <c r="T15" s="50">
        <f t="shared" si="31"/>
        <v>3000</v>
      </c>
      <c r="U15" s="46">
        <f t="shared" si="32"/>
        <v>3400</v>
      </c>
      <c r="V15" s="46">
        <f t="shared" si="33"/>
        <v>3800</v>
      </c>
      <c r="W15" s="51">
        <f t="shared" si="34"/>
        <v>4200</v>
      </c>
      <c r="X15" s="112" t="s">
        <v>32</v>
      </c>
      <c r="Y15" s="53">
        <f t="shared" si="35"/>
        <v>112800</v>
      </c>
      <c r="Z15" s="51">
        <f t="shared" si="36"/>
        <v>9400</v>
      </c>
      <c r="AA15" s="106">
        <f t="shared" si="37"/>
        <v>8200</v>
      </c>
      <c r="AB15" s="4">
        <f t="shared" si="38"/>
        <v>8600</v>
      </c>
      <c r="AC15" s="4">
        <f t="shared" si="39"/>
        <v>9000</v>
      </c>
      <c r="AD15" s="107">
        <f t="shared" si="40"/>
        <v>9400</v>
      </c>
      <c r="AE15" s="4">
        <f t="shared" si="41"/>
        <v>9800</v>
      </c>
      <c r="AF15" s="4">
        <f t="shared" si="42"/>
        <v>10200</v>
      </c>
      <c r="AG15" s="108">
        <f t="shared" si="43"/>
        <v>10600</v>
      </c>
      <c r="AH15" s="41">
        <f t="shared" si="44"/>
        <v>0.51063829787234</v>
      </c>
      <c r="AI15" s="42">
        <f t="shared" si="45"/>
        <v>0.170212765957447</v>
      </c>
      <c r="AJ15" s="43">
        <f t="shared" si="46"/>
        <v>0.319148936170213</v>
      </c>
      <c r="AK15" s="3"/>
    </row>
    <row r="16" s="4" customFormat="1" ht="18.95" customHeight="1" spans="1:37">
      <c r="A16" s="44" t="s">
        <v>26</v>
      </c>
      <c r="B16" s="113"/>
      <c r="C16" s="114"/>
      <c r="D16" s="51" t="str">
        <f t="shared" si="26"/>
        <v>Ⅰ类L2</v>
      </c>
      <c r="E16" s="44" t="s">
        <v>29</v>
      </c>
      <c r="F16" s="103" t="s">
        <v>37</v>
      </c>
      <c r="G16" s="44" t="e" cm="1">
        <f t="array" ref="G16">INDEX(#REF!,MATCH(E16,#REF!,0),MATCH(F16,#REF!,0))</f>
        <v>#REF!</v>
      </c>
      <c r="H16" s="46" t="e">
        <f t="shared" si="27"/>
        <v>#REF!</v>
      </c>
      <c r="I16" s="47">
        <v>5600</v>
      </c>
      <c r="J16" s="46" t="s">
        <v>35</v>
      </c>
      <c r="K16" s="48">
        <v>2600</v>
      </c>
      <c r="L16" s="44">
        <f t="shared" si="47"/>
        <v>1000</v>
      </c>
      <c r="M16" s="49">
        <f t="shared" si="28"/>
        <v>0.293103448275862</v>
      </c>
      <c r="N16" s="50">
        <v>3400</v>
      </c>
      <c r="O16" s="51">
        <f t="shared" si="48"/>
        <v>400</v>
      </c>
      <c r="P16" s="111">
        <v>500</v>
      </c>
      <c r="Q16" s="105">
        <f t="shared" si="49"/>
        <v>1900</v>
      </c>
      <c r="R16" s="46">
        <f t="shared" si="29"/>
        <v>2400</v>
      </c>
      <c r="S16" s="46">
        <f t="shared" si="30"/>
        <v>2900</v>
      </c>
      <c r="T16" s="50">
        <f t="shared" si="31"/>
        <v>3400</v>
      </c>
      <c r="U16" s="46">
        <f t="shared" si="32"/>
        <v>3900</v>
      </c>
      <c r="V16" s="46">
        <f t="shared" si="33"/>
        <v>4400</v>
      </c>
      <c r="W16" s="51">
        <f t="shared" si="34"/>
        <v>4900</v>
      </c>
      <c r="X16" s="115" t="s">
        <v>36</v>
      </c>
      <c r="Y16" s="105">
        <f t="shared" si="35"/>
        <v>139200</v>
      </c>
      <c r="Z16" s="46">
        <f t="shared" si="36"/>
        <v>11600</v>
      </c>
      <c r="AA16" s="106">
        <f t="shared" si="37"/>
        <v>10100</v>
      </c>
      <c r="AB16" s="4">
        <f t="shared" si="38"/>
        <v>10600</v>
      </c>
      <c r="AC16" s="4">
        <f t="shared" si="39"/>
        <v>11100</v>
      </c>
      <c r="AD16" s="116">
        <f t="shared" si="40"/>
        <v>11600</v>
      </c>
      <c r="AE16" s="4">
        <f t="shared" si="41"/>
        <v>12100</v>
      </c>
      <c r="AF16" s="4">
        <f t="shared" si="42"/>
        <v>12600</v>
      </c>
      <c r="AG16" s="108">
        <f t="shared" si="43"/>
        <v>13100</v>
      </c>
      <c r="AH16" s="41">
        <f t="shared" si="44"/>
        <v>0.482758620689655</v>
      </c>
      <c r="AI16" s="42">
        <f t="shared" si="45"/>
        <v>0.224137931034483</v>
      </c>
      <c r="AJ16" s="43">
        <f t="shared" si="46"/>
        <v>0.293103448275862</v>
      </c>
      <c r="AK16" s="3"/>
    </row>
    <row r="17" s="4" customFormat="1" ht="18.95" customHeight="1" spans="1:37">
      <c r="A17" s="44" t="s">
        <v>26</v>
      </c>
      <c r="B17" s="113"/>
      <c r="C17" s="114"/>
      <c r="D17" s="51" t="str">
        <f t="shared" si="26"/>
        <v>Ⅰ类L3</v>
      </c>
      <c r="E17" s="44" t="s">
        <v>29</v>
      </c>
      <c r="F17" s="103" t="s">
        <v>40</v>
      </c>
      <c r="G17" s="44" t="e" cm="1">
        <f t="array" ref="G17">INDEX(#REF!,MATCH(E17,#REF!,0),MATCH(F17,#REF!,0))</f>
        <v>#REF!</v>
      </c>
      <c r="H17" s="46" t="e">
        <f t="shared" si="27"/>
        <v>#REF!</v>
      </c>
      <c r="I17" s="47">
        <v>6600</v>
      </c>
      <c r="J17" s="46" t="s">
        <v>38</v>
      </c>
      <c r="K17" s="48">
        <v>4100</v>
      </c>
      <c r="L17" s="117">
        <f t="shared" si="47"/>
        <v>1500</v>
      </c>
      <c r="M17" s="49">
        <f t="shared" si="28"/>
        <v>0.296052631578947</v>
      </c>
      <c r="N17" s="50">
        <v>4500</v>
      </c>
      <c r="O17" s="60">
        <f t="shared" si="48"/>
        <v>1100</v>
      </c>
      <c r="P17" s="111">
        <v>600</v>
      </c>
      <c r="Q17" s="105">
        <f t="shared" si="49"/>
        <v>2700</v>
      </c>
      <c r="R17" s="46">
        <f t="shared" si="29"/>
        <v>3300</v>
      </c>
      <c r="S17" s="46">
        <f t="shared" si="30"/>
        <v>3900</v>
      </c>
      <c r="T17" s="50">
        <f t="shared" si="31"/>
        <v>4500</v>
      </c>
      <c r="U17" s="46">
        <f t="shared" si="32"/>
        <v>5100</v>
      </c>
      <c r="V17" s="46">
        <f t="shared" si="33"/>
        <v>5700</v>
      </c>
      <c r="W17" s="51">
        <f t="shared" si="34"/>
        <v>6300</v>
      </c>
      <c r="X17" s="115" t="s">
        <v>39</v>
      </c>
      <c r="Y17" s="105">
        <f t="shared" si="35"/>
        <v>182400</v>
      </c>
      <c r="Z17" s="118">
        <f t="shared" si="36"/>
        <v>15200</v>
      </c>
      <c r="AA17" s="106">
        <f t="shared" si="37"/>
        <v>13400</v>
      </c>
      <c r="AB17" s="4">
        <f t="shared" si="38"/>
        <v>14000</v>
      </c>
      <c r="AC17" s="4">
        <f t="shared" si="39"/>
        <v>14600</v>
      </c>
      <c r="AD17" s="116">
        <f t="shared" si="40"/>
        <v>15200</v>
      </c>
      <c r="AE17" s="4">
        <f t="shared" si="41"/>
        <v>15800</v>
      </c>
      <c r="AF17" s="4">
        <f t="shared" si="42"/>
        <v>16400</v>
      </c>
      <c r="AG17" s="108">
        <f t="shared" si="43"/>
        <v>17000</v>
      </c>
      <c r="AH17" s="41">
        <f t="shared" si="44"/>
        <v>0.434210526315789</v>
      </c>
      <c r="AI17" s="42">
        <f t="shared" si="45"/>
        <v>0.269736842105263</v>
      </c>
      <c r="AJ17" s="43">
        <f t="shared" si="46"/>
        <v>0.296052631578947</v>
      </c>
      <c r="AK17" s="3"/>
    </row>
    <row r="18" s="4" customFormat="1" ht="18.95" customHeight="1" spans="1:37">
      <c r="A18" s="44" t="s">
        <v>26</v>
      </c>
      <c r="B18" s="119"/>
      <c r="C18" s="114"/>
      <c r="D18" s="51" t="str">
        <f t="shared" si="26"/>
        <v>Ⅰ类L4</v>
      </c>
      <c r="E18" s="44" t="s">
        <v>29</v>
      </c>
      <c r="F18" s="103" t="s">
        <v>40</v>
      </c>
      <c r="G18" s="44" t="e" cm="1">
        <f t="array" ref="G18">INDEX(#REF!,MATCH(E18,#REF!,0),MATCH(F18,#REF!,0))</f>
        <v>#REF!</v>
      </c>
      <c r="H18" s="46" t="e">
        <f t="shared" si="27"/>
        <v>#REF!</v>
      </c>
      <c r="I18" s="47">
        <v>6600</v>
      </c>
      <c r="J18" s="46" t="s">
        <v>41</v>
      </c>
      <c r="K18" s="48">
        <v>5700</v>
      </c>
      <c r="L18" s="117">
        <f t="shared" si="47"/>
        <v>1600</v>
      </c>
      <c r="M18" s="49">
        <f t="shared" si="28"/>
        <v>0.362694300518135</v>
      </c>
      <c r="N18" s="50">
        <v>7000</v>
      </c>
      <c r="O18" s="60">
        <f t="shared" si="48"/>
        <v>2500</v>
      </c>
      <c r="P18" s="111">
        <v>700</v>
      </c>
      <c r="Q18" s="105">
        <f t="shared" si="49"/>
        <v>4900</v>
      </c>
      <c r="R18" s="46">
        <f t="shared" si="29"/>
        <v>5600</v>
      </c>
      <c r="S18" s="46">
        <f t="shared" si="30"/>
        <v>6300</v>
      </c>
      <c r="T18" s="50">
        <f t="shared" si="31"/>
        <v>7000</v>
      </c>
      <c r="U18" s="46">
        <f t="shared" si="32"/>
        <v>7700</v>
      </c>
      <c r="V18" s="46">
        <f t="shared" si="33"/>
        <v>8400</v>
      </c>
      <c r="W18" s="51">
        <f t="shared" si="34"/>
        <v>9100</v>
      </c>
      <c r="X18" s="115" t="s">
        <v>42</v>
      </c>
      <c r="Y18" s="105">
        <f t="shared" si="35"/>
        <v>231600</v>
      </c>
      <c r="Z18" s="118">
        <f t="shared" si="36"/>
        <v>19300</v>
      </c>
      <c r="AA18" s="106">
        <f t="shared" si="37"/>
        <v>17200</v>
      </c>
      <c r="AB18" s="4">
        <f t="shared" si="38"/>
        <v>17900</v>
      </c>
      <c r="AC18" s="4">
        <f t="shared" si="39"/>
        <v>18600</v>
      </c>
      <c r="AD18" s="107">
        <f t="shared" si="40"/>
        <v>19300</v>
      </c>
      <c r="AE18" s="4">
        <f t="shared" si="41"/>
        <v>20000</v>
      </c>
      <c r="AF18" s="4">
        <f t="shared" si="42"/>
        <v>20700</v>
      </c>
      <c r="AG18" s="108">
        <f t="shared" si="43"/>
        <v>21400</v>
      </c>
      <c r="AH18" s="41">
        <f t="shared" si="44"/>
        <v>0.341968911917098</v>
      </c>
      <c r="AI18" s="42">
        <f t="shared" si="45"/>
        <v>0.295336787564767</v>
      </c>
      <c r="AJ18" s="43">
        <f t="shared" si="46"/>
        <v>0.362694300518135</v>
      </c>
      <c r="AK18" s="3"/>
    </row>
    <row r="19" s="4" customFormat="1" ht="18.95" customHeight="1" spans="1:37">
      <c r="A19" s="44" t="s">
        <v>26</v>
      </c>
      <c r="B19" s="120"/>
      <c r="C19" s="121"/>
      <c r="D19" s="51" t="str">
        <f t="shared" si="26"/>
        <v>Ⅰ类L4</v>
      </c>
      <c r="E19" s="44" t="s">
        <v>29</v>
      </c>
      <c r="F19" s="103" t="s">
        <v>40</v>
      </c>
      <c r="G19" s="61" t="e" cm="1">
        <f t="array" ref="G19">INDEX(#REF!,MATCH(E19,#REF!,0),MATCH(F19,#REF!,0))</f>
        <v>#REF!</v>
      </c>
      <c r="H19" s="63" t="e">
        <f t="shared" si="27"/>
        <v>#REF!</v>
      </c>
      <c r="I19" s="80">
        <v>6600</v>
      </c>
      <c r="J19" s="46" t="s">
        <v>41</v>
      </c>
      <c r="K19" s="48">
        <v>8700</v>
      </c>
      <c r="L19" s="117">
        <f t="shared" si="47"/>
        <v>3000</v>
      </c>
      <c r="M19" s="65">
        <f t="shared" si="28"/>
        <v>0.395256916996047</v>
      </c>
      <c r="N19" s="66">
        <v>10000</v>
      </c>
      <c r="O19" s="122">
        <f t="shared" si="48"/>
        <v>3000</v>
      </c>
      <c r="P19" s="111">
        <v>800</v>
      </c>
      <c r="Q19" s="105">
        <f t="shared" si="49"/>
        <v>7600</v>
      </c>
      <c r="R19" s="46">
        <f t="shared" si="29"/>
        <v>8400</v>
      </c>
      <c r="S19" s="46">
        <f t="shared" si="30"/>
        <v>9200</v>
      </c>
      <c r="T19" s="50">
        <f t="shared" si="31"/>
        <v>10000</v>
      </c>
      <c r="U19" s="46">
        <f t="shared" si="32"/>
        <v>10800</v>
      </c>
      <c r="V19" s="46">
        <f t="shared" si="33"/>
        <v>11600</v>
      </c>
      <c r="W19" s="51">
        <f t="shared" si="34"/>
        <v>12400</v>
      </c>
      <c r="X19" s="115" t="s">
        <v>42</v>
      </c>
      <c r="Y19" s="105">
        <f t="shared" si="35"/>
        <v>303600</v>
      </c>
      <c r="Z19" s="118">
        <f t="shared" si="36"/>
        <v>25300</v>
      </c>
      <c r="AA19" s="106">
        <f t="shared" si="37"/>
        <v>22900</v>
      </c>
      <c r="AB19" s="4">
        <f t="shared" si="38"/>
        <v>23700</v>
      </c>
      <c r="AC19" s="4">
        <f t="shared" si="39"/>
        <v>24500</v>
      </c>
      <c r="AD19" s="107">
        <f t="shared" si="40"/>
        <v>25300</v>
      </c>
      <c r="AE19" s="4">
        <f t="shared" si="41"/>
        <v>26100</v>
      </c>
      <c r="AF19" s="4">
        <f t="shared" si="42"/>
        <v>26900</v>
      </c>
      <c r="AG19" s="108">
        <f t="shared" si="43"/>
        <v>27700</v>
      </c>
      <c r="AH19" s="41">
        <f t="shared" si="44"/>
        <v>0.260869565217391</v>
      </c>
      <c r="AI19" s="42">
        <f t="shared" si="45"/>
        <v>0.343873517786561</v>
      </c>
      <c r="AJ19" s="43">
        <f t="shared" si="46"/>
        <v>0.395256916996047</v>
      </c>
      <c r="AK19" s="3"/>
    </row>
    <row r="20" s="4" customFormat="1" ht="18.95" customHeight="1" spans="1:37">
      <c r="A20" s="123" t="s">
        <v>45</v>
      </c>
      <c r="B20" s="124" t="s">
        <v>50</v>
      </c>
      <c r="C20" s="125" t="s">
        <v>51</v>
      </c>
      <c r="D20" s="33" t="str">
        <f t="shared" si="26"/>
        <v>Ⅱ类L1</v>
      </c>
      <c r="E20" s="26" t="s">
        <v>29</v>
      </c>
      <c r="F20" s="28" t="s">
        <v>30</v>
      </c>
      <c r="G20" s="26" t="e" cm="1">
        <f t="array" ref="G20">INDEX(#REF!,MATCH(E20,#REF!,0),MATCH(F20,#REF!,0))</f>
        <v>#REF!</v>
      </c>
      <c r="H20" s="28" t="e">
        <f t="shared" si="27"/>
        <v>#REF!</v>
      </c>
      <c r="I20" s="29">
        <v>4400</v>
      </c>
      <c r="J20" s="28" t="s">
        <v>31</v>
      </c>
      <c r="K20" s="126">
        <v>300</v>
      </c>
      <c r="L20" s="28"/>
      <c r="M20" s="31">
        <f t="shared" si="28"/>
        <v>0.328571428571429</v>
      </c>
      <c r="N20" s="32">
        <v>2300</v>
      </c>
      <c r="O20" s="33"/>
      <c r="P20" s="104">
        <v>300</v>
      </c>
      <c r="Q20" s="127">
        <v>0</v>
      </c>
      <c r="R20" s="28">
        <f t="shared" si="29"/>
        <v>1700</v>
      </c>
      <c r="S20" s="28">
        <f t="shared" si="30"/>
        <v>2000</v>
      </c>
      <c r="T20" s="32">
        <f t="shared" si="31"/>
        <v>2300</v>
      </c>
      <c r="U20" s="28">
        <f t="shared" si="32"/>
        <v>2600</v>
      </c>
      <c r="V20" s="28">
        <f t="shared" si="33"/>
        <v>2900</v>
      </c>
      <c r="W20" s="33">
        <f t="shared" si="34"/>
        <v>3200</v>
      </c>
      <c r="X20" s="127" t="s">
        <v>32</v>
      </c>
      <c r="Y20" s="127">
        <f t="shared" si="35"/>
        <v>84000</v>
      </c>
      <c r="Z20" s="28">
        <f t="shared" si="36"/>
        <v>7000</v>
      </c>
      <c r="AA20" s="128">
        <f t="shared" si="37"/>
        <v>4700</v>
      </c>
      <c r="AB20" s="129">
        <f t="shared" si="38"/>
        <v>6400</v>
      </c>
      <c r="AC20" s="129">
        <f t="shared" si="39"/>
        <v>6700</v>
      </c>
      <c r="AD20" s="130">
        <f t="shared" si="40"/>
        <v>7000</v>
      </c>
      <c r="AE20" s="129">
        <f t="shared" si="41"/>
        <v>7300</v>
      </c>
      <c r="AF20" s="129">
        <f t="shared" si="42"/>
        <v>7600</v>
      </c>
      <c r="AG20" s="131">
        <f t="shared" si="43"/>
        <v>7900</v>
      </c>
      <c r="AH20" s="132">
        <f t="shared" si="44"/>
        <v>0.628571428571429</v>
      </c>
      <c r="AI20" s="133">
        <f t="shared" si="45"/>
        <v>0.0428571428571429</v>
      </c>
      <c r="AJ20" s="134">
        <f t="shared" si="46"/>
        <v>0.328571428571429</v>
      </c>
      <c r="AK20" s="3"/>
    </row>
    <row r="21" s="4" customFormat="1" ht="18.95" customHeight="1" spans="1:37">
      <c r="A21" s="135" t="s">
        <v>45</v>
      </c>
      <c r="B21" s="136"/>
      <c r="C21" s="137"/>
      <c r="D21" s="67" t="str">
        <f t="shared" si="26"/>
        <v>Ⅱ类L2</v>
      </c>
      <c r="E21" s="61" t="s">
        <v>29</v>
      </c>
      <c r="F21" s="63" t="s">
        <v>34</v>
      </c>
      <c r="G21" s="61" t="e" cm="1">
        <f t="array" ref="G21">INDEX(#REF!,MATCH(E21,#REF!,0),MATCH(F21,#REF!,0))</f>
        <v>#REF!</v>
      </c>
      <c r="H21" s="63" t="e">
        <f t="shared" si="27"/>
        <v>#REF!</v>
      </c>
      <c r="I21" s="80">
        <v>4800</v>
      </c>
      <c r="J21" s="63" t="s">
        <v>35</v>
      </c>
      <c r="K21" s="138">
        <v>1000</v>
      </c>
      <c r="L21" s="63">
        <f t="shared" ref="L21:L28" si="50">K21-K20</f>
        <v>700</v>
      </c>
      <c r="M21" s="65">
        <f t="shared" si="28"/>
        <v>0.355555555555556</v>
      </c>
      <c r="N21" s="66">
        <v>3200</v>
      </c>
      <c r="O21" s="67">
        <f t="shared" ref="O21:O28" si="51">N21-N20</f>
        <v>900</v>
      </c>
      <c r="P21" s="139">
        <v>400</v>
      </c>
      <c r="Q21" s="140">
        <f t="shared" ref="Q21:Q28" si="52">R21-P21</f>
        <v>2000</v>
      </c>
      <c r="R21" s="63">
        <f t="shared" si="29"/>
        <v>2400</v>
      </c>
      <c r="S21" s="63">
        <f t="shared" si="30"/>
        <v>2800</v>
      </c>
      <c r="T21" s="66">
        <f t="shared" si="31"/>
        <v>3200</v>
      </c>
      <c r="U21" s="63">
        <f t="shared" si="32"/>
        <v>3600</v>
      </c>
      <c r="V21" s="63">
        <f t="shared" si="33"/>
        <v>4000</v>
      </c>
      <c r="W21" s="67">
        <f t="shared" si="34"/>
        <v>4400</v>
      </c>
      <c r="X21" s="140" t="s">
        <v>36</v>
      </c>
      <c r="Y21" s="140">
        <f t="shared" si="35"/>
        <v>108000</v>
      </c>
      <c r="Z21" s="63">
        <f t="shared" si="36"/>
        <v>9000</v>
      </c>
      <c r="AA21" s="141">
        <f t="shared" si="37"/>
        <v>7800</v>
      </c>
      <c r="AB21" s="142">
        <f t="shared" si="38"/>
        <v>8200</v>
      </c>
      <c r="AC21" s="142">
        <f t="shared" si="39"/>
        <v>8600</v>
      </c>
      <c r="AD21" s="143">
        <f t="shared" si="40"/>
        <v>9000</v>
      </c>
      <c r="AE21" s="142">
        <f t="shared" si="41"/>
        <v>9400</v>
      </c>
      <c r="AF21" s="142">
        <f t="shared" si="42"/>
        <v>9800</v>
      </c>
      <c r="AG21" s="144">
        <f t="shared" si="43"/>
        <v>10200</v>
      </c>
      <c r="AH21" s="82">
        <f t="shared" si="44"/>
        <v>0.533333333333333</v>
      </c>
      <c r="AI21" s="76">
        <f t="shared" si="45"/>
        <v>0.111111111111111</v>
      </c>
      <c r="AJ21" s="77">
        <f t="shared" si="46"/>
        <v>0.355555555555556</v>
      </c>
      <c r="AK21" s="145"/>
    </row>
    <row r="22" ht="16.35" spans="1:37">
      <c r="I22" s="146"/>
      <c r="N22" s="146"/>
      <c r="T22" s="147"/>
    </row>
    <row r="23" s="3" customFormat="1" ht="47.55" spans="1:37">
      <c r="A23" s="83" t="s">
        <v>52</v>
      </c>
      <c r="B23" s="83" t="s">
        <v>0</v>
      </c>
      <c r="C23" s="86"/>
      <c r="D23" s="148" t="s">
        <v>1</v>
      </c>
      <c r="E23" s="86" t="s">
        <v>2</v>
      </c>
      <c r="F23" s="86" t="s">
        <v>3</v>
      </c>
      <c r="G23" s="12" t="s">
        <v>47</v>
      </c>
      <c r="H23" s="12" t="s">
        <v>5</v>
      </c>
      <c r="I23" s="87" t="s">
        <v>6</v>
      </c>
      <c r="J23" s="88" t="s">
        <v>7</v>
      </c>
      <c r="K23" s="89" t="s">
        <v>8</v>
      </c>
      <c r="L23" s="90" t="s">
        <v>9</v>
      </c>
      <c r="M23" s="17" t="s">
        <v>10</v>
      </c>
      <c r="N23" s="18" t="s">
        <v>11</v>
      </c>
      <c r="O23" s="91" t="s">
        <v>12</v>
      </c>
      <c r="P23" s="149" t="s">
        <v>13</v>
      </c>
      <c r="Q23" s="93" t="s">
        <v>14</v>
      </c>
      <c r="R23" s="93" t="s">
        <v>15</v>
      </c>
      <c r="S23" s="93" t="s">
        <v>16</v>
      </c>
      <c r="T23" s="93" t="s">
        <v>17</v>
      </c>
      <c r="U23" s="94" t="s">
        <v>18</v>
      </c>
      <c r="V23" s="94" t="s">
        <v>19</v>
      </c>
      <c r="W23" s="95" t="s">
        <v>20</v>
      </c>
      <c r="X23" s="96" t="s">
        <v>21</v>
      </c>
      <c r="Y23" s="97" t="s">
        <v>22</v>
      </c>
      <c r="Z23" s="150" t="s">
        <v>23</v>
      </c>
      <c r="AA23" s="99" t="s">
        <v>24</v>
      </c>
      <c r="AB23" s="84"/>
      <c r="AC23" s="84"/>
      <c r="AD23" s="84"/>
      <c r="AE23" s="84"/>
      <c r="AF23" s="84"/>
      <c r="AG23" s="87"/>
      <c r="AH23" s="100" t="s">
        <v>25</v>
      </c>
      <c r="AI23" s="84"/>
      <c r="AJ23" s="84"/>
    </row>
    <row r="24" s="4" customFormat="1" ht="18.95" customHeight="1" spans="1:37">
      <c r="A24" s="151" t="s">
        <v>26</v>
      </c>
      <c r="B24" s="152" t="s">
        <v>53</v>
      </c>
      <c r="C24" s="153"/>
      <c r="D24" s="51" t="str">
        <f>A24&amp;J24</f>
        <v>Ⅰ类L1</v>
      </c>
      <c r="E24" s="44" t="s">
        <v>29</v>
      </c>
      <c r="F24" s="46" t="s">
        <v>30</v>
      </c>
      <c r="G24" s="26" t="e" cm="1">
        <f t="array" ref="G24">INDEX(#REF!,MATCH(E24,#REF!,0),MATCH(F24,#REF!,0))</f>
        <v>#REF!</v>
      </c>
      <c r="H24" s="28" t="e">
        <f t="shared" ref="H24:H31" si="53">IF(G24=I24,1,0)</f>
        <v>#REF!</v>
      </c>
      <c r="I24" s="29">
        <v>4400</v>
      </c>
      <c r="J24" s="46" t="s">
        <v>31</v>
      </c>
      <c r="K24" s="48">
        <v>1200</v>
      </c>
      <c r="L24" s="46"/>
      <c r="M24" s="31">
        <f t="shared" ref="M24:M31" si="54">N24/AD24</f>
        <v>0.3</v>
      </c>
      <c r="N24" s="32">
        <v>2400</v>
      </c>
      <c r="O24" s="33"/>
      <c r="P24" s="104">
        <v>300</v>
      </c>
      <c r="Q24" s="127">
        <v>0</v>
      </c>
      <c r="R24" s="28">
        <f t="shared" ref="R24:R31" si="55">S24-P24</f>
        <v>1800</v>
      </c>
      <c r="S24" s="28">
        <f t="shared" ref="S24:S31" si="56">T24-P24</f>
        <v>2100</v>
      </c>
      <c r="T24" s="32">
        <f t="shared" ref="T24:T31" si="57">N24</f>
        <v>2400</v>
      </c>
      <c r="U24" s="28">
        <f t="shared" ref="U24:U31" si="58">T24+P24</f>
        <v>2700</v>
      </c>
      <c r="V24" s="28">
        <f t="shared" ref="V24:V31" si="59">U24+P24</f>
        <v>3000</v>
      </c>
      <c r="W24" s="33">
        <f t="shared" ref="W24:W31" si="60">V24+P24</f>
        <v>3300</v>
      </c>
      <c r="X24" s="115" t="s">
        <v>32</v>
      </c>
      <c r="Y24" s="105">
        <f t="shared" ref="Y24:Y31" si="61">AD24*12</f>
        <v>96000</v>
      </c>
      <c r="Z24" s="105">
        <f t="shared" ref="Z24:Z31" si="62">AD24</f>
        <v>8000</v>
      </c>
      <c r="AA24" s="128">
        <f t="shared" ref="AA24:AA31" si="63">I24+K24+Q24</f>
        <v>5600</v>
      </c>
      <c r="AB24" s="129">
        <f t="shared" ref="AB24:AB31" si="64">I24+K24+R24</f>
        <v>7400</v>
      </c>
      <c r="AC24" s="129">
        <f t="shared" ref="AC24:AC31" si="65">I24+K24+S24</f>
        <v>7700</v>
      </c>
      <c r="AD24" s="130">
        <f t="shared" ref="AD24:AD31" si="66">I24+K24+T24</f>
        <v>8000</v>
      </c>
      <c r="AE24" s="129">
        <f t="shared" ref="AE24:AE31" si="67">I24+K24+U24</f>
        <v>8300</v>
      </c>
      <c r="AF24" s="129">
        <f t="shared" ref="AF24:AF31" si="68">I24+K24+V24</f>
        <v>8600</v>
      </c>
      <c r="AG24" s="131">
        <f t="shared" ref="AG24:AG31" si="69">I24+K24+W24</f>
        <v>8900</v>
      </c>
      <c r="AH24" s="132">
        <f t="shared" ref="AH24:AH31" si="70">I24/AD24</f>
        <v>0.55</v>
      </c>
      <c r="AI24" s="133">
        <f t="shared" ref="AI24:AI31" si="71">K24/AD24</f>
        <v>0.15</v>
      </c>
      <c r="AJ24" s="134">
        <f t="shared" ref="AJ24:AJ31" si="72">T24/AD24</f>
        <v>0.3</v>
      </c>
    </row>
    <row r="25" s="4" customFormat="1" ht="18.95" customHeight="1" spans="1:37">
      <c r="A25" s="151"/>
      <c r="B25" s="152"/>
      <c r="C25" s="153"/>
      <c r="D25" s="51" t="str">
        <f>A24&amp;J25</f>
        <v>Ⅰ类L1A</v>
      </c>
      <c r="E25" s="44" t="s">
        <v>29</v>
      </c>
      <c r="F25" s="103" t="s">
        <v>34</v>
      </c>
      <c r="G25" s="44" t="e" cm="1">
        <f t="array" ref="G25">INDEX(#REF!,MATCH(E25,#REF!,0),MATCH(F25,#REF!,0))</f>
        <v>#REF!</v>
      </c>
      <c r="H25" s="46" t="e">
        <f t="shared" si="53"/>
        <v>#REF!</v>
      </c>
      <c r="I25" s="47">
        <v>4800</v>
      </c>
      <c r="J25" s="46" t="s">
        <v>33</v>
      </c>
      <c r="K25" s="48">
        <v>1900</v>
      </c>
      <c r="L25" s="46">
        <f t="shared" si="50"/>
        <v>700</v>
      </c>
      <c r="M25" s="49">
        <f t="shared" si="54"/>
        <v>0.294736842105263</v>
      </c>
      <c r="N25" s="50">
        <v>2800</v>
      </c>
      <c r="O25" s="51">
        <f t="shared" si="51"/>
        <v>400</v>
      </c>
      <c r="P25" s="111">
        <v>400</v>
      </c>
      <c r="Q25" s="105">
        <f t="shared" si="52"/>
        <v>1600</v>
      </c>
      <c r="R25" s="46">
        <f t="shared" si="55"/>
        <v>2000</v>
      </c>
      <c r="S25" s="46">
        <f t="shared" si="56"/>
        <v>2400</v>
      </c>
      <c r="T25" s="50">
        <f t="shared" si="57"/>
        <v>2800</v>
      </c>
      <c r="U25" s="46">
        <f t="shared" si="58"/>
        <v>3200</v>
      </c>
      <c r="V25" s="46">
        <f t="shared" si="59"/>
        <v>3600</v>
      </c>
      <c r="W25" s="51">
        <f t="shared" si="60"/>
        <v>4000</v>
      </c>
      <c r="X25" s="115" t="s">
        <v>32</v>
      </c>
      <c r="Y25" s="105">
        <f t="shared" si="61"/>
        <v>114000</v>
      </c>
      <c r="Z25" s="105">
        <f t="shared" si="62"/>
        <v>9500</v>
      </c>
      <c r="AA25" s="106">
        <f t="shared" si="63"/>
        <v>8300</v>
      </c>
      <c r="AB25" s="4">
        <f t="shared" si="64"/>
        <v>8700</v>
      </c>
      <c r="AC25" s="4">
        <f t="shared" si="65"/>
        <v>9100</v>
      </c>
      <c r="AD25" s="107">
        <f t="shared" si="66"/>
        <v>9500</v>
      </c>
      <c r="AE25" s="4">
        <f t="shared" si="67"/>
        <v>9900</v>
      </c>
      <c r="AF25" s="4">
        <f t="shared" si="68"/>
        <v>10300</v>
      </c>
      <c r="AG25" s="108">
        <f t="shared" si="69"/>
        <v>10700</v>
      </c>
      <c r="AH25" s="41">
        <f t="shared" si="70"/>
        <v>0.505263157894737</v>
      </c>
      <c r="AI25" s="42">
        <f t="shared" si="71"/>
        <v>0.2</v>
      </c>
      <c r="AJ25" s="43">
        <f t="shared" si="72"/>
        <v>0.294736842105263</v>
      </c>
    </row>
    <row r="26" s="4" customFormat="1" ht="18.95" customHeight="1" spans="1:37">
      <c r="A26" s="151"/>
      <c r="B26" s="152"/>
      <c r="C26" s="153"/>
      <c r="D26" s="51" t="str">
        <f>A24&amp;J26</f>
        <v>Ⅰ类L2</v>
      </c>
      <c r="E26" s="44" t="s">
        <v>29</v>
      </c>
      <c r="F26" s="103" t="s">
        <v>37</v>
      </c>
      <c r="G26" s="44" t="e" cm="1">
        <f t="array" ref="G26">INDEX(#REF!,MATCH(E26,#REF!,0),MATCH(F26,#REF!,0))</f>
        <v>#REF!</v>
      </c>
      <c r="H26" s="46" t="e">
        <f t="shared" si="53"/>
        <v>#REF!</v>
      </c>
      <c r="I26" s="47">
        <v>5600</v>
      </c>
      <c r="J26" s="46" t="s">
        <v>35</v>
      </c>
      <c r="K26" s="48">
        <v>2600</v>
      </c>
      <c r="L26" s="46">
        <f t="shared" si="50"/>
        <v>700</v>
      </c>
      <c r="M26" s="49">
        <f t="shared" si="54"/>
        <v>0.267857142857143</v>
      </c>
      <c r="N26" s="50">
        <v>3000</v>
      </c>
      <c r="O26" s="51">
        <f t="shared" si="51"/>
        <v>200</v>
      </c>
      <c r="P26" s="111">
        <v>500</v>
      </c>
      <c r="Q26" s="105">
        <f t="shared" si="52"/>
        <v>1500</v>
      </c>
      <c r="R26" s="46">
        <f t="shared" si="55"/>
        <v>2000</v>
      </c>
      <c r="S26" s="46">
        <f t="shared" si="56"/>
        <v>2500</v>
      </c>
      <c r="T26" s="50">
        <f t="shared" si="57"/>
        <v>3000</v>
      </c>
      <c r="U26" s="46">
        <f t="shared" si="58"/>
        <v>3500</v>
      </c>
      <c r="V26" s="46">
        <f t="shared" si="59"/>
        <v>4000</v>
      </c>
      <c r="W26" s="51">
        <f t="shared" si="60"/>
        <v>4500</v>
      </c>
      <c r="X26" s="115" t="s">
        <v>36</v>
      </c>
      <c r="Y26" s="105">
        <f t="shared" si="61"/>
        <v>134400</v>
      </c>
      <c r="Z26" s="105">
        <f t="shared" si="62"/>
        <v>11200</v>
      </c>
      <c r="AA26" s="106">
        <f t="shared" si="63"/>
        <v>9700</v>
      </c>
      <c r="AB26" s="4">
        <f t="shared" si="64"/>
        <v>10200</v>
      </c>
      <c r="AC26" s="4">
        <f t="shared" si="65"/>
        <v>10700</v>
      </c>
      <c r="AD26" s="107">
        <f t="shared" si="66"/>
        <v>11200</v>
      </c>
      <c r="AE26" s="4">
        <f t="shared" si="67"/>
        <v>11700</v>
      </c>
      <c r="AF26" s="4">
        <f t="shared" si="68"/>
        <v>12200</v>
      </c>
      <c r="AG26" s="108">
        <f t="shared" si="69"/>
        <v>12700</v>
      </c>
      <c r="AH26" s="41">
        <f t="shared" si="70"/>
        <v>0.5</v>
      </c>
      <c r="AI26" s="58">
        <f t="shared" si="71"/>
        <v>0.232142857142857</v>
      </c>
      <c r="AJ26" s="43">
        <f t="shared" si="72"/>
        <v>0.267857142857143</v>
      </c>
    </row>
    <row r="27" s="4" customFormat="1" ht="18.95" customHeight="1" spans="1:37">
      <c r="A27" s="151"/>
      <c r="B27" s="152"/>
      <c r="C27" s="153"/>
      <c r="D27" s="51" t="str">
        <f>A24&amp;J27</f>
        <v>Ⅰ类L3</v>
      </c>
      <c r="E27" s="44" t="s">
        <v>29</v>
      </c>
      <c r="F27" s="103" t="s">
        <v>37</v>
      </c>
      <c r="G27" s="44" t="e" cm="1">
        <f t="array" ref="G27">INDEX(#REF!,MATCH(E27,#REF!,0),MATCH(F27,#REF!,0))</f>
        <v>#REF!</v>
      </c>
      <c r="H27" s="46" t="e">
        <f t="shared" si="53"/>
        <v>#REF!</v>
      </c>
      <c r="I27" s="47">
        <v>5600</v>
      </c>
      <c r="J27" s="46" t="s">
        <v>38</v>
      </c>
      <c r="K27" s="48">
        <v>4100</v>
      </c>
      <c r="L27" s="46">
        <f t="shared" si="50"/>
        <v>1500</v>
      </c>
      <c r="M27" s="49">
        <f t="shared" si="54"/>
        <v>0.353333333333333</v>
      </c>
      <c r="N27" s="50">
        <v>5300</v>
      </c>
      <c r="O27" s="51">
        <f t="shared" si="51"/>
        <v>2300</v>
      </c>
      <c r="P27" s="111">
        <v>600</v>
      </c>
      <c r="Q27" s="105">
        <f t="shared" si="52"/>
        <v>3500</v>
      </c>
      <c r="R27" s="46">
        <f t="shared" si="55"/>
        <v>4100</v>
      </c>
      <c r="S27" s="46">
        <f t="shared" si="56"/>
        <v>4700</v>
      </c>
      <c r="T27" s="50">
        <f t="shared" si="57"/>
        <v>5300</v>
      </c>
      <c r="U27" s="46">
        <f t="shared" si="58"/>
        <v>5900</v>
      </c>
      <c r="V27" s="46">
        <f t="shared" si="59"/>
        <v>6500</v>
      </c>
      <c r="W27" s="51">
        <f t="shared" si="60"/>
        <v>7100</v>
      </c>
      <c r="X27" s="115" t="s">
        <v>39</v>
      </c>
      <c r="Y27" s="105">
        <f t="shared" si="61"/>
        <v>180000</v>
      </c>
      <c r="Z27" s="105">
        <f t="shared" si="62"/>
        <v>15000</v>
      </c>
      <c r="AA27" s="106">
        <f t="shared" si="63"/>
        <v>13200</v>
      </c>
      <c r="AB27" s="4">
        <f t="shared" si="64"/>
        <v>13800</v>
      </c>
      <c r="AC27" s="4">
        <f t="shared" si="65"/>
        <v>14400</v>
      </c>
      <c r="AD27" s="107">
        <f t="shared" si="66"/>
        <v>15000</v>
      </c>
      <c r="AE27" s="4">
        <f t="shared" si="67"/>
        <v>15600</v>
      </c>
      <c r="AF27" s="4">
        <f t="shared" si="68"/>
        <v>16200</v>
      </c>
      <c r="AG27" s="108">
        <f t="shared" si="69"/>
        <v>16800</v>
      </c>
      <c r="AH27" s="41">
        <f t="shared" si="70"/>
        <v>0.373333333333333</v>
      </c>
      <c r="AI27" s="42">
        <f t="shared" si="71"/>
        <v>0.273333333333333</v>
      </c>
      <c r="AJ27" s="43">
        <f t="shared" si="72"/>
        <v>0.353333333333333</v>
      </c>
    </row>
    <row r="28" s="4" customFormat="1" ht="18.95" customHeight="1" spans="1:37">
      <c r="A28" s="135"/>
      <c r="B28" s="154"/>
      <c r="C28" s="155"/>
      <c r="D28" s="51" t="str">
        <f>A24&amp;J28</f>
        <v>Ⅰ类L4</v>
      </c>
      <c r="E28" s="44" t="s">
        <v>29</v>
      </c>
      <c r="F28" s="103" t="s">
        <v>40</v>
      </c>
      <c r="G28" s="61" t="e" cm="1">
        <f t="array" ref="G28">INDEX(#REF!,MATCH(E28,#REF!,0),MATCH(F28,#REF!,0))</f>
        <v>#REF!</v>
      </c>
      <c r="H28" s="63" t="e">
        <f t="shared" si="53"/>
        <v>#REF!</v>
      </c>
      <c r="I28" s="80">
        <v>6600</v>
      </c>
      <c r="J28" s="46" t="s">
        <v>41</v>
      </c>
      <c r="K28" s="48">
        <v>5700</v>
      </c>
      <c r="L28" s="46">
        <f t="shared" si="50"/>
        <v>1600</v>
      </c>
      <c r="M28" s="65">
        <f t="shared" si="54"/>
        <v>0.362694300518135</v>
      </c>
      <c r="N28" s="66">
        <v>7000</v>
      </c>
      <c r="O28" s="67">
        <f t="shared" si="51"/>
        <v>1700</v>
      </c>
      <c r="P28" s="139">
        <v>700</v>
      </c>
      <c r="Q28" s="140">
        <f t="shared" si="52"/>
        <v>4900</v>
      </c>
      <c r="R28" s="63">
        <f t="shared" si="55"/>
        <v>5600</v>
      </c>
      <c r="S28" s="63">
        <f t="shared" si="56"/>
        <v>6300</v>
      </c>
      <c r="T28" s="66">
        <f t="shared" si="57"/>
        <v>7000</v>
      </c>
      <c r="U28" s="63">
        <f t="shared" si="58"/>
        <v>7700</v>
      </c>
      <c r="V28" s="63">
        <f t="shared" si="59"/>
        <v>8400</v>
      </c>
      <c r="W28" s="67">
        <f t="shared" si="60"/>
        <v>9100</v>
      </c>
      <c r="X28" s="140" t="s">
        <v>42</v>
      </c>
      <c r="Y28" s="140">
        <f t="shared" si="61"/>
        <v>231600</v>
      </c>
      <c r="Z28" s="140">
        <f t="shared" si="62"/>
        <v>19300</v>
      </c>
      <c r="AA28" s="141">
        <f t="shared" si="63"/>
        <v>17200</v>
      </c>
      <c r="AB28" s="142">
        <f t="shared" si="64"/>
        <v>17900</v>
      </c>
      <c r="AC28" s="142">
        <f t="shared" si="65"/>
        <v>18600</v>
      </c>
      <c r="AD28" s="143">
        <f t="shared" si="66"/>
        <v>19300</v>
      </c>
      <c r="AE28" s="142">
        <f t="shared" si="67"/>
        <v>20000</v>
      </c>
      <c r="AF28" s="142">
        <f t="shared" si="68"/>
        <v>20700</v>
      </c>
      <c r="AG28" s="144">
        <f t="shared" si="69"/>
        <v>21400</v>
      </c>
      <c r="AH28" s="82">
        <f t="shared" si="70"/>
        <v>0.341968911917098</v>
      </c>
      <c r="AI28" s="75">
        <f t="shared" si="71"/>
        <v>0.295336787564767</v>
      </c>
      <c r="AJ28" s="77">
        <f t="shared" si="72"/>
        <v>0.362694300518135</v>
      </c>
    </row>
    <row r="29" s="4" customFormat="1" ht="18.95" customHeight="1" spans="1:37">
      <c r="A29" s="123" t="s">
        <v>45</v>
      </c>
      <c r="B29" s="156" t="s">
        <v>54</v>
      </c>
      <c r="C29" s="157"/>
      <c r="D29" s="33" t="str">
        <f>A29&amp;J29</f>
        <v>Ⅱ类L1</v>
      </c>
      <c r="E29" s="26" t="s">
        <v>29</v>
      </c>
      <c r="F29" s="28" t="s">
        <v>34</v>
      </c>
      <c r="G29" s="26" t="e" cm="1">
        <f t="array" ref="G29">INDEX(#REF!,MATCH(E29,#REF!,0),MATCH(F29,#REF!,0))</f>
        <v>#REF!</v>
      </c>
      <c r="H29" s="28" t="e">
        <f t="shared" si="53"/>
        <v>#REF!</v>
      </c>
      <c r="I29" s="29">
        <v>4800</v>
      </c>
      <c r="J29" s="28" t="s">
        <v>31</v>
      </c>
      <c r="K29" s="30">
        <v>300</v>
      </c>
      <c r="L29" s="26"/>
      <c r="M29" s="31">
        <f t="shared" si="54"/>
        <v>0.291666666666667</v>
      </c>
      <c r="N29" s="32">
        <v>2100</v>
      </c>
      <c r="O29" s="33"/>
      <c r="P29" s="111">
        <v>300</v>
      </c>
      <c r="Q29" s="105">
        <v>0</v>
      </c>
      <c r="R29" s="46">
        <f t="shared" si="55"/>
        <v>1500</v>
      </c>
      <c r="S29" s="46">
        <f t="shared" si="56"/>
        <v>1800</v>
      </c>
      <c r="T29" s="50">
        <f t="shared" si="57"/>
        <v>2100</v>
      </c>
      <c r="U29" s="46">
        <f t="shared" si="58"/>
        <v>2400</v>
      </c>
      <c r="V29" s="46">
        <f t="shared" si="59"/>
        <v>2700</v>
      </c>
      <c r="W29" s="51">
        <f t="shared" si="60"/>
        <v>3000</v>
      </c>
      <c r="X29" s="115" t="s">
        <v>32</v>
      </c>
      <c r="Y29" s="105">
        <f t="shared" si="61"/>
        <v>86400</v>
      </c>
      <c r="Z29" s="105">
        <f t="shared" si="62"/>
        <v>7200</v>
      </c>
      <c r="AA29" s="106">
        <f t="shared" si="63"/>
        <v>5100</v>
      </c>
      <c r="AB29" s="4">
        <f t="shared" si="64"/>
        <v>6600</v>
      </c>
      <c r="AC29" s="4">
        <f t="shared" si="65"/>
        <v>6900</v>
      </c>
      <c r="AD29" s="107">
        <f t="shared" si="66"/>
        <v>7200</v>
      </c>
      <c r="AE29" s="4">
        <f t="shared" si="67"/>
        <v>7500</v>
      </c>
      <c r="AF29" s="4">
        <f t="shared" si="68"/>
        <v>7800</v>
      </c>
      <c r="AG29" s="108">
        <f t="shared" si="69"/>
        <v>8100</v>
      </c>
      <c r="AH29" s="41">
        <f t="shared" si="70"/>
        <v>0.666666666666667</v>
      </c>
      <c r="AI29" s="58">
        <f t="shared" si="71"/>
        <v>0.0416666666666667</v>
      </c>
      <c r="AJ29" s="43">
        <f t="shared" si="72"/>
        <v>0.291666666666667</v>
      </c>
    </row>
    <row r="30" s="4" customFormat="1" ht="18.95" customHeight="1" spans="1:37">
      <c r="A30" s="151"/>
      <c r="B30" s="152"/>
      <c r="C30" s="153"/>
      <c r="D30" s="51" t="str">
        <f>A29&amp;J30</f>
        <v>Ⅱ类L2</v>
      </c>
      <c r="E30" s="44" t="s">
        <v>29</v>
      </c>
      <c r="F30" s="46" t="s">
        <v>37</v>
      </c>
      <c r="G30" s="44" t="e" cm="1">
        <f t="array" ref="G30">INDEX(#REF!,MATCH(E30,#REF!,0),MATCH(F30,#REF!,0))</f>
        <v>#REF!</v>
      </c>
      <c r="H30" s="46" t="e">
        <f t="shared" si="53"/>
        <v>#REF!</v>
      </c>
      <c r="I30" s="47">
        <v>5600</v>
      </c>
      <c r="J30" s="46" t="s">
        <v>35</v>
      </c>
      <c r="K30" s="48">
        <v>1000</v>
      </c>
      <c r="L30" s="44">
        <f t="shared" ref="L30:L39" si="73">K30-K29</f>
        <v>700</v>
      </c>
      <c r="M30" s="49">
        <f t="shared" si="54"/>
        <v>0.282608695652174</v>
      </c>
      <c r="N30" s="50">
        <v>2600</v>
      </c>
      <c r="O30" s="51">
        <f t="shared" ref="O30:O39" si="74">N30-N29</f>
        <v>500</v>
      </c>
      <c r="P30" s="111">
        <v>400</v>
      </c>
      <c r="Q30" s="105">
        <f t="shared" ref="Q30:Q39" si="75">R30-P30</f>
        <v>1400</v>
      </c>
      <c r="R30" s="46">
        <f t="shared" si="55"/>
        <v>1800</v>
      </c>
      <c r="S30" s="46">
        <f t="shared" si="56"/>
        <v>2200</v>
      </c>
      <c r="T30" s="50">
        <f t="shared" si="57"/>
        <v>2600</v>
      </c>
      <c r="U30" s="46">
        <f t="shared" si="58"/>
        <v>3000</v>
      </c>
      <c r="V30" s="46">
        <f t="shared" si="59"/>
        <v>3400</v>
      </c>
      <c r="W30" s="51">
        <f t="shared" si="60"/>
        <v>3800</v>
      </c>
      <c r="X30" s="115" t="s">
        <v>36</v>
      </c>
      <c r="Y30" s="105">
        <f t="shared" si="61"/>
        <v>110400</v>
      </c>
      <c r="Z30" s="105">
        <f t="shared" si="62"/>
        <v>9200</v>
      </c>
      <c r="AA30" s="106">
        <f t="shared" si="63"/>
        <v>8000</v>
      </c>
      <c r="AB30" s="4">
        <f t="shared" si="64"/>
        <v>8400</v>
      </c>
      <c r="AC30" s="4">
        <f t="shared" si="65"/>
        <v>8800</v>
      </c>
      <c r="AD30" s="107">
        <f t="shared" si="66"/>
        <v>9200</v>
      </c>
      <c r="AE30" s="4">
        <f t="shared" si="67"/>
        <v>9600</v>
      </c>
      <c r="AF30" s="4">
        <f t="shared" si="68"/>
        <v>10000</v>
      </c>
      <c r="AG30" s="108">
        <f t="shared" si="69"/>
        <v>10400</v>
      </c>
      <c r="AH30" s="41">
        <f t="shared" si="70"/>
        <v>0.608695652173913</v>
      </c>
      <c r="AI30" s="58">
        <f t="shared" si="71"/>
        <v>0.108695652173913</v>
      </c>
      <c r="AJ30" s="43">
        <f t="shared" si="72"/>
        <v>0.282608695652174</v>
      </c>
    </row>
    <row r="31" s="4" customFormat="1" ht="18.95" customHeight="1" spans="1:37">
      <c r="A31" s="135"/>
      <c r="B31" s="154"/>
      <c r="C31" s="155"/>
      <c r="D31" s="67" t="str">
        <f>A29&amp;J31</f>
        <v>Ⅱ类L3</v>
      </c>
      <c r="E31" s="61" t="s">
        <v>29</v>
      </c>
      <c r="F31" s="63" t="s">
        <v>40</v>
      </c>
      <c r="G31" s="61" t="e" cm="1">
        <f t="array" ref="G31">INDEX(#REF!,MATCH(E31,#REF!,0),MATCH(F31,#REF!,0))</f>
        <v>#REF!</v>
      </c>
      <c r="H31" s="63" t="e">
        <f t="shared" si="53"/>
        <v>#REF!</v>
      </c>
      <c r="I31" s="80">
        <v>6600</v>
      </c>
      <c r="J31" s="63" t="s">
        <v>38</v>
      </c>
      <c r="K31" s="64">
        <v>2700</v>
      </c>
      <c r="L31" s="61">
        <f t="shared" si="73"/>
        <v>1700</v>
      </c>
      <c r="M31" s="65">
        <f t="shared" si="54"/>
        <v>0.295454545454545</v>
      </c>
      <c r="N31" s="66">
        <v>3900</v>
      </c>
      <c r="O31" s="67">
        <f t="shared" si="74"/>
        <v>1300</v>
      </c>
      <c r="P31" s="139">
        <v>500</v>
      </c>
      <c r="Q31" s="140">
        <f t="shared" si="75"/>
        <v>2400</v>
      </c>
      <c r="R31" s="63">
        <f t="shared" si="55"/>
        <v>2900</v>
      </c>
      <c r="S31" s="63">
        <f t="shared" si="56"/>
        <v>3400</v>
      </c>
      <c r="T31" s="66">
        <f t="shared" si="57"/>
        <v>3900</v>
      </c>
      <c r="U31" s="63">
        <f t="shared" si="58"/>
        <v>4400</v>
      </c>
      <c r="V31" s="63">
        <f t="shared" si="59"/>
        <v>4900</v>
      </c>
      <c r="W31" s="67">
        <f t="shared" si="60"/>
        <v>5400</v>
      </c>
      <c r="X31" s="140" t="s">
        <v>39</v>
      </c>
      <c r="Y31" s="140">
        <f t="shared" si="61"/>
        <v>158400</v>
      </c>
      <c r="Z31" s="140">
        <f t="shared" si="62"/>
        <v>13200</v>
      </c>
      <c r="AA31" s="141">
        <f t="shared" si="63"/>
        <v>11700</v>
      </c>
      <c r="AB31" s="142">
        <f t="shared" si="64"/>
        <v>12200</v>
      </c>
      <c r="AC31" s="142">
        <f t="shared" si="65"/>
        <v>12700</v>
      </c>
      <c r="AD31" s="143">
        <f t="shared" si="66"/>
        <v>13200</v>
      </c>
      <c r="AE31" s="142">
        <f t="shared" si="67"/>
        <v>13700</v>
      </c>
      <c r="AF31" s="142">
        <f t="shared" si="68"/>
        <v>14200</v>
      </c>
      <c r="AG31" s="144">
        <f t="shared" si="69"/>
        <v>14700</v>
      </c>
      <c r="AH31" s="82">
        <f t="shared" si="70"/>
        <v>0.5</v>
      </c>
      <c r="AI31" s="76">
        <f t="shared" si="71"/>
        <v>0.204545454545455</v>
      </c>
      <c r="AJ31" s="77">
        <f t="shared" si="72"/>
        <v>0.295454545454545</v>
      </c>
    </row>
    <row r="32" ht="16.35" spans="1:37">
      <c r="I32" s="146"/>
      <c r="N32" s="146"/>
      <c r="T32" s="147"/>
    </row>
    <row r="33" s="3" customFormat="1" ht="47.55" spans="1:37">
      <c r="A33" s="99" t="s">
        <v>0</v>
      </c>
      <c r="B33" s="86" t="s">
        <v>0</v>
      </c>
      <c r="C33" s="86"/>
      <c r="D33" s="158" t="s">
        <v>1</v>
      </c>
      <c r="E33" s="84" t="s">
        <v>2</v>
      </c>
      <c r="F33" s="84" t="s">
        <v>3</v>
      </c>
      <c r="G33" s="12" t="s">
        <v>47</v>
      </c>
      <c r="H33" s="12" t="s">
        <v>5</v>
      </c>
      <c r="I33" s="87" t="s">
        <v>6</v>
      </c>
      <c r="J33" s="159" t="s">
        <v>7</v>
      </c>
      <c r="K33" s="160" t="s">
        <v>8</v>
      </c>
      <c r="L33" s="160" t="s">
        <v>9</v>
      </c>
      <c r="M33" s="17" t="s">
        <v>10</v>
      </c>
      <c r="N33" s="18" t="s">
        <v>11</v>
      </c>
      <c r="O33" s="91" t="s">
        <v>12</v>
      </c>
      <c r="P33" s="92" t="s">
        <v>13</v>
      </c>
      <c r="Q33" s="93" t="s">
        <v>14</v>
      </c>
      <c r="R33" s="93" t="s">
        <v>15</v>
      </c>
      <c r="S33" s="93" t="s">
        <v>16</v>
      </c>
      <c r="T33" s="93" t="s">
        <v>17</v>
      </c>
      <c r="U33" s="94" t="s">
        <v>18</v>
      </c>
      <c r="V33" s="94" t="s">
        <v>19</v>
      </c>
      <c r="W33" s="95" t="s">
        <v>20</v>
      </c>
      <c r="X33" s="96" t="s">
        <v>21</v>
      </c>
      <c r="Y33" s="97" t="s">
        <v>22</v>
      </c>
      <c r="Z33" s="98" t="s">
        <v>23</v>
      </c>
      <c r="AA33" s="99" t="s">
        <v>24</v>
      </c>
      <c r="AB33" s="84"/>
      <c r="AC33" s="84"/>
      <c r="AD33" s="84"/>
      <c r="AE33" s="84"/>
      <c r="AF33" s="84"/>
      <c r="AG33" s="87"/>
      <c r="AH33" s="100" t="s">
        <v>25</v>
      </c>
      <c r="AI33" s="84"/>
      <c r="AJ33" s="84"/>
    </row>
    <row r="34" s="4" customFormat="1" ht="18.95" customHeight="1" spans="1:37">
      <c r="A34" s="26" t="s">
        <v>26</v>
      </c>
      <c r="B34" s="27" t="s">
        <v>55</v>
      </c>
      <c r="C34" s="27" t="s">
        <v>56</v>
      </c>
      <c r="D34" s="51" t="str">
        <f t="shared" ref="D34:D42" si="76">A34&amp;J34</f>
        <v>Ⅰ类L1</v>
      </c>
      <c r="E34" s="44" t="s">
        <v>29</v>
      </c>
      <c r="F34" s="46" t="s">
        <v>30</v>
      </c>
      <c r="G34" s="26" t="e" cm="1">
        <f t="array" ref="G34">INDEX(#REF!,MATCH(E34,#REF!,0),MATCH(F34,#REF!,0))</f>
        <v>#REF!</v>
      </c>
      <c r="H34" s="28" t="e">
        <f t="shared" ref="H34:H42" si="77">IF(G34=I34,1,0)</f>
        <v>#REF!</v>
      </c>
      <c r="I34" s="29">
        <v>4400</v>
      </c>
      <c r="J34" s="28" t="s">
        <v>31</v>
      </c>
      <c r="K34" s="30">
        <v>1200</v>
      </c>
      <c r="L34" s="28"/>
      <c r="M34" s="31">
        <f t="shared" ref="M34:M42" si="78">N34/AD34</f>
        <v>0.3</v>
      </c>
      <c r="N34" s="32">
        <v>2400</v>
      </c>
      <c r="O34" s="33"/>
      <c r="P34" s="104">
        <v>300</v>
      </c>
      <c r="Q34" s="127">
        <v>0</v>
      </c>
      <c r="R34" s="28">
        <f t="shared" ref="R34:R42" si="79">S34-P34</f>
        <v>1800</v>
      </c>
      <c r="S34" s="28">
        <f t="shared" ref="S34:S42" si="80">T34-P34</f>
        <v>2100</v>
      </c>
      <c r="T34" s="32">
        <f t="shared" ref="T34:T42" si="81">N34</f>
        <v>2400</v>
      </c>
      <c r="U34" s="28">
        <f t="shared" ref="U34:U42" si="82">T34+P34</f>
        <v>2700</v>
      </c>
      <c r="V34" s="28">
        <f t="shared" ref="V34:V42" si="83">U34+P34</f>
        <v>3000</v>
      </c>
      <c r="W34" s="33">
        <f t="shared" ref="W34:W42" si="84">V34+P34</f>
        <v>3300</v>
      </c>
      <c r="X34" s="161" t="s">
        <v>32</v>
      </c>
      <c r="Y34" s="105">
        <f t="shared" ref="Y34:Y42" si="85">AD34*12</f>
        <v>96000</v>
      </c>
      <c r="Z34" s="105">
        <v>8000</v>
      </c>
      <c r="AA34" s="128">
        <f t="shared" ref="AA34:AA42" si="86">I34+K34+Q34</f>
        <v>5600</v>
      </c>
      <c r="AB34" s="129">
        <f t="shared" ref="AB34:AB42" si="87">I34+K34+R34</f>
        <v>7400</v>
      </c>
      <c r="AC34" s="129">
        <f t="shared" ref="AC34:AC42" si="88">I34+K34+S34</f>
        <v>7700</v>
      </c>
      <c r="AD34" s="130">
        <f t="shared" ref="AD34:AD42" si="89">I34+K34+T34</f>
        <v>8000</v>
      </c>
      <c r="AE34" s="129">
        <f t="shared" ref="AE34:AE42" si="90">I34+K34+U34</f>
        <v>8300</v>
      </c>
      <c r="AF34" s="129">
        <f t="shared" ref="AF34:AF42" si="91">I34+K34+V34</f>
        <v>8600</v>
      </c>
      <c r="AG34" s="131">
        <f t="shared" ref="AG34:AG42" si="92">I34+K34+W34</f>
        <v>8900</v>
      </c>
      <c r="AH34" s="41">
        <f t="shared" ref="AH34:AH42" si="93">I34/AD34</f>
        <v>0.55</v>
      </c>
      <c r="AI34" s="58">
        <f t="shared" ref="AI34:AI42" si="94">K34/AD34</f>
        <v>0.15</v>
      </c>
      <c r="AJ34" s="43">
        <f t="shared" ref="AJ34:AJ42" si="95">T34/AD34</f>
        <v>0.3</v>
      </c>
    </row>
    <row r="35" s="4" customFormat="1" ht="18.95" customHeight="1" spans="1:37">
      <c r="A35" s="44" t="s">
        <v>26</v>
      </c>
      <c r="B35" s="45"/>
      <c r="C35" s="45"/>
      <c r="D35" s="51" t="str">
        <f t="shared" si="76"/>
        <v>Ⅰ类L1A</v>
      </c>
      <c r="E35" s="44" t="s">
        <v>29</v>
      </c>
      <c r="F35" s="46" t="s">
        <v>30</v>
      </c>
      <c r="G35" s="44" t="e" cm="1">
        <f t="array" ref="G35">INDEX(#REF!,MATCH(E35,#REF!,0),MATCH(F35,#REF!,0))</f>
        <v>#REF!</v>
      </c>
      <c r="H35" s="46" t="e">
        <f t="shared" si="77"/>
        <v>#REF!</v>
      </c>
      <c r="I35" s="47">
        <v>4400</v>
      </c>
      <c r="J35" s="46" t="s">
        <v>33</v>
      </c>
      <c r="K35" s="48">
        <v>1900</v>
      </c>
      <c r="L35" s="46">
        <f t="shared" si="73"/>
        <v>700</v>
      </c>
      <c r="M35" s="49">
        <f t="shared" si="78"/>
        <v>0.32258064516129</v>
      </c>
      <c r="N35" s="50">
        <v>3000</v>
      </c>
      <c r="O35" s="51">
        <f t="shared" si="74"/>
        <v>600</v>
      </c>
      <c r="P35" s="111">
        <v>400</v>
      </c>
      <c r="Q35" s="105">
        <f t="shared" si="75"/>
        <v>1800</v>
      </c>
      <c r="R35" s="46">
        <f t="shared" si="79"/>
        <v>2200</v>
      </c>
      <c r="S35" s="46">
        <f t="shared" si="80"/>
        <v>2600</v>
      </c>
      <c r="T35" s="50">
        <f t="shared" si="81"/>
        <v>3000</v>
      </c>
      <c r="U35" s="46">
        <f t="shared" si="82"/>
        <v>3400</v>
      </c>
      <c r="V35" s="46">
        <f t="shared" si="83"/>
        <v>3800</v>
      </c>
      <c r="W35" s="51">
        <f t="shared" si="84"/>
        <v>4200</v>
      </c>
      <c r="X35" s="161" t="s">
        <v>32</v>
      </c>
      <c r="Y35" s="105">
        <f t="shared" si="85"/>
        <v>111600</v>
      </c>
      <c r="Z35" s="105">
        <v>8000</v>
      </c>
      <c r="AA35" s="106">
        <f t="shared" si="86"/>
        <v>8100</v>
      </c>
      <c r="AB35" s="4">
        <f t="shared" si="87"/>
        <v>8500</v>
      </c>
      <c r="AC35" s="4">
        <f t="shared" si="88"/>
        <v>8900</v>
      </c>
      <c r="AD35" s="107">
        <f t="shared" si="89"/>
        <v>9300</v>
      </c>
      <c r="AE35" s="4">
        <f t="shared" si="90"/>
        <v>9700</v>
      </c>
      <c r="AF35" s="4">
        <f t="shared" si="91"/>
        <v>10100</v>
      </c>
      <c r="AG35" s="108">
        <f t="shared" si="92"/>
        <v>10500</v>
      </c>
      <c r="AH35" s="41">
        <f t="shared" si="93"/>
        <v>0.473118279569892</v>
      </c>
      <c r="AI35" s="42">
        <f t="shared" si="94"/>
        <v>0.204301075268817</v>
      </c>
      <c r="AJ35" s="43">
        <f t="shared" si="95"/>
        <v>0.32258064516129</v>
      </c>
      <c r="AK35" s="162"/>
    </row>
    <row r="36" s="4" customFormat="1" ht="18.95" customHeight="1" spans="1:37">
      <c r="A36" s="44" t="s">
        <v>26</v>
      </c>
      <c r="B36" s="45"/>
      <c r="C36" s="45"/>
      <c r="D36" s="51" t="str">
        <f t="shared" si="76"/>
        <v>Ⅰ类L2</v>
      </c>
      <c r="E36" s="44" t="s">
        <v>29</v>
      </c>
      <c r="F36" s="46" t="s">
        <v>34</v>
      </c>
      <c r="G36" s="44" t="e" cm="1">
        <f t="array" ref="G36">INDEX(#REF!,MATCH(E36,#REF!,0),MATCH(F36,#REF!,0))</f>
        <v>#REF!</v>
      </c>
      <c r="H36" s="46" t="e">
        <f t="shared" si="77"/>
        <v>#REF!</v>
      </c>
      <c r="I36" s="47">
        <v>4800</v>
      </c>
      <c r="J36" s="46" t="s">
        <v>35</v>
      </c>
      <c r="K36" s="48">
        <v>2600</v>
      </c>
      <c r="L36" s="46">
        <f t="shared" si="73"/>
        <v>700</v>
      </c>
      <c r="M36" s="49">
        <f t="shared" si="78"/>
        <v>0.327272727272727</v>
      </c>
      <c r="N36" s="50">
        <v>3600</v>
      </c>
      <c r="O36" s="51">
        <f t="shared" si="74"/>
        <v>600</v>
      </c>
      <c r="P36" s="111">
        <v>500</v>
      </c>
      <c r="Q36" s="105">
        <f t="shared" si="75"/>
        <v>2100</v>
      </c>
      <c r="R36" s="46">
        <f t="shared" si="79"/>
        <v>2600</v>
      </c>
      <c r="S36" s="46">
        <f t="shared" si="80"/>
        <v>3100</v>
      </c>
      <c r="T36" s="50">
        <f t="shared" si="81"/>
        <v>3600</v>
      </c>
      <c r="U36" s="46">
        <f t="shared" si="82"/>
        <v>4100</v>
      </c>
      <c r="V36" s="46">
        <f t="shared" si="83"/>
        <v>4600</v>
      </c>
      <c r="W36" s="51">
        <f t="shared" si="84"/>
        <v>5100</v>
      </c>
      <c r="X36" s="161" t="s">
        <v>36</v>
      </c>
      <c r="Y36" s="105">
        <f t="shared" si="85"/>
        <v>132000</v>
      </c>
      <c r="Z36" s="46">
        <v>11000</v>
      </c>
      <c r="AA36" s="106">
        <f t="shared" si="86"/>
        <v>9500</v>
      </c>
      <c r="AB36" s="4">
        <f t="shared" si="87"/>
        <v>10000</v>
      </c>
      <c r="AC36" s="4">
        <f t="shared" si="88"/>
        <v>10500</v>
      </c>
      <c r="AD36" s="107">
        <f t="shared" si="89"/>
        <v>11000</v>
      </c>
      <c r="AE36" s="4">
        <f t="shared" si="90"/>
        <v>11500</v>
      </c>
      <c r="AF36" s="4">
        <f t="shared" si="91"/>
        <v>12000</v>
      </c>
      <c r="AG36" s="108">
        <f t="shared" si="92"/>
        <v>12500</v>
      </c>
      <c r="AH36" s="41">
        <f t="shared" si="93"/>
        <v>0.436363636363636</v>
      </c>
      <c r="AI36" s="58">
        <f t="shared" si="94"/>
        <v>0.236363636363636</v>
      </c>
      <c r="AJ36" s="43">
        <f t="shared" si="95"/>
        <v>0.327272727272727</v>
      </c>
    </row>
    <row r="37" s="4" customFormat="1" ht="18.95" customHeight="1" spans="1:37">
      <c r="A37" s="44" t="s">
        <v>26</v>
      </c>
      <c r="B37" s="45"/>
      <c r="C37" s="45"/>
      <c r="D37" s="51" t="str">
        <f t="shared" si="76"/>
        <v>Ⅰ类L3</v>
      </c>
      <c r="E37" s="44" t="s">
        <v>29</v>
      </c>
      <c r="F37" s="46" t="s">
        <v>37</v>
      </c>
      <c r="G37" s="44" t="e" cm="1">
        <f t="array" ref="G37">INDEX(#REF!,MATCH(E37,#REF!,0),MATCH(F37,#REF!,0))</f>
        <v>#REF!</v>
      </c>
      <c r="H37" s="46" t="e">
        <f t="shared" si="77"/>
        <v>#REF!</v>
      </c>
      <c r="I37" s="47">
        <v>5600</v>
      </c>
      <c r="J37" s="46" t="s">
        <v>38</v>
      </c>
      <c r="K37" s="48">
        <v>4100</v>
      </c>
      <c r="L37" s="59">
        <f t="shared" si="73"/>
        <v>1500</v>
      </c>
      <c r="M37" s="49">
        <f t="shared" si="78"/>
        <v>0.353333333333333</v>
      </c>
      <c r="N37" s="50">
        <v>5300</v>
      </c>
      <c r="O37" s="60">
        <f t="shared" si="74"/>
        <v>1700</v>
      </c>
      <c r="P37" s="111">
        <v>600</v>
      </c>
      <c r="Q37" s="105">
        <f t="shared" si="75"/>
        <v>3500</v>
      </c>
      <c r="R37" s="46">
        <f t="shared" si="79"/>
        <v>4100</v>
      </c>
      <c r="S37" s="46">
        <f t="shared" si="80"/>
        <v>4700</v>
      </c>
      <c r="T37" s="50">
        <f t="shared" si="81"/>
        <v>5300</v>
      </c>
      <c r="U37" s="46">
        <f t="shared" si="82"/>
        <v>5900</v>
      </c>
      <c r="V37" s="46">
        <f t="shared" si="83"/>
        <v>6500</v>
      </c>
      <c r="W37" s="51">
        <f t="shared" si="84"/>
        <v>7100</v>
      </c>
      <c r="X37" s="161" t="s">
        <v>39</v>
      </c>
      <c r="Y37" s="105">
        <f t="shared" si="85"/>
        <v>180000</v>
      </c>
      <c r="Z37" s="118">
        <v>15000</v>
      </c>
      <c r="AA37" s="106">
        <f t="shared" si="86"/>
        <v>13200</v>
      </c>
      <c r="AB37" s="4">
        <f t="shared" si="87"/>
        <v>13800</v>
      </c>
      <c r="AC37" s="4">
        <f t="shared" si="88"/>
        <v>14400</v>
      </c>
      <c r="AD37" s="107">
        <f t="shared" si="89"/>
        <v>15000</v>
      </c>
      <c r="AE37" s="4">
        <f t="shared" si="90"/>
        <v>15600</v>
      </c>
      <c r="AF37" s="4">
        <f t="shared" si="91"/>
        <v>16200</v>
      </c>
      <c r="AG37" s="108">
        <f t="shared" si="92"/>
        <v>16800</v>
      </c>
      <c r="AH37" s="41">
        <f t="shared" si="93"/>
        <v>0.373333333333333</v>
      </c>
      <c r="AI37" s="42">
        <f t="shared" si="94"/>
        <v>0.273333333333333</v>
      </c>
      <c r="AJ37" s="43">
        <f t="shared" si="95"/>
        <v>0.353333333333333</v>
      </c>
    </row>
    <row r="38" s="4" customFormat="1" ht="18.95" customHeight="1" spans="1:37">
      <c r="A38" s="44" t="s">
        <v>26</v>
      </c>
      <c r="B38" s="163"/>
      <c r="C38" s="45"/>
      <c r="D38" s="51" t="str">
        <f t="shared" si="76"/>
        <v>Ⅰ类L4</v>
      </c>
      <c r="E38" s="44" t="s">
        <v>29</v>
      </c>
      <c r="F38" s="46" t="s">
        <v>40</v>
      </c>
      <c r="G38" s="44" t="e" cm="1">
        <f t="array" ref="G38">INDEX(#REF!,MATCH(E38,#REF!,0),MATCH(F38,#REF!,0))</f>
        <v>#REF!</v>
      </c>
      <c r="H38" s="46" t="e">
        <f t="shared" si="77"/>
        <v>#REF!</v>
      </c>
      <c r="I38" s="47">
        <v>6600</v>
      </c>
      <c r="J38" s="46" t="s">
        <v>41</v>
      </c>
      <c r="K38" s="48">
        <v>5700</v>
      </c>
      <c r="L38" s="59">
        <f t="shared" si="73"/>
        <v>1600</v>
      </c>
      <c r="M38" s="49">
        <f t="shared" si="78"/>
        <v>0.362694300518135</v>
      </c>
      <c r="N38" s="50">
        <v>7000</v>
      </c>
      <c r="O38" s="60">
        <f t="shared" si="74"/>
        <v>1700</v>
      </c>
      <c r="P38" s="111">
        <v>700</v>
      </c>
      <c r="Q38" s="105">
        <f t="shared" si="75"/>
        <v>4900</v>
      </c>
      <c r="R38" s="46">
        <f t="shared" si="79"/>
        <v>5600</v>
      </c>
      <c r="S38" s="46">
        <f t="shared" si="80"/>
        <v>6300</v>
      </c>
      <c r="T38" s="50">
        <f t="shared" si="81"/>
        <v>7000</v>
      </c>
      <c r="U38" s="46">
        <f t="shared" si="82"/>
        <v>7700</v>
      </c>
      <c r="V38" s="46">
        <f t="shared" si="83"/>
        <v>8400</v>
      </c>
      <c r="W38" s="51">
        <f t="shared" si="84"/>
        <v>9100</v>
      </c>
      <c r="X38" s="161" t="s">
        <v>42</v>
      </c>
      <c r="Y38" s="105">
        <f t="shared" si="85"/>
        <v>231600</v>
      </c>
      <c r="Z38" s="118">
        <v>19300</v>
      </c>
      <c r="AA38" s="106">
        <f t="shared" si="86"/>
        <v>17200</v>
      </c>
      <c r="AB38" s="4">
        <f t="shared" si="87"/>
        <v>17900</v>
      </c>
      <c r="AC38" s="4">
        <f t="shared" si="88"/>
        <v>18600</v>
      </c>
      <c r="AD38" s="107">
        <f t="shared" si="89"/>
        <v>19300</v>
      </c>
      <c r="AE38" s="4">
        <f t="shared" si="90"/>
        <v>20000</v>
      </c>
      <c r="AF38" s="4">
        <f t="shared" si="91"/>
        <v>20700</v>
      </c>
      <c r="AG38" s="108">
        <f t="shared" si="92"/>
        <v>21400</v>
      </c>
      <c r="AH38" s="41">
        <f t="shared" si="93"/>
        <v>0.341968911917098</v>
      </c>
      <c r="AI38" s="42">
        <f t="shared" si="94"/>
        <v>0.295336787564767</v>
      </c>
      <c r="AJ38" s="43">
        <f t="shared" si="95"/>
        <v>0.362694300518135</v>
      </c>
    </row>
    <row r="39" s="4" customFormat="1" ht="18.95" customHeight="1" spans="1:37">
      <c r="A39" s="61" t="s">
        <v>26</v>
      </c>
      <c r="B39" s="164"/>
      <c r="C39" s="62"/>
      <c r="D39" s="67" t="str">
        <f t="shared" si="76"/>
        <v>Ⅰ类L5</v>
      </c>
      <c r="E39" s="61" t="s">
        <v>29</v>
      </c>
      <c r="F39" s="63" t="s">
        <v>40</v>
      </c>
      <c r="G39" s="61" t="e" cm="1">
        <f t="array" ref="G39">INDEX(#REF!,MATCH(E39,#REF!,0),MATCH(F39,#REF!,0))</f>
        <v>#REF!</v>
      </c>
      <c r="H39" s="63" t="e">
        <f t="shared" si="77"/>
        <v>#REF!</v>
      </c>
      <c r="I39" s="80">
        <v>6600</v>
      </c>
      <c r="J39" s="63" t="s">
        <v>43</v>
      </c>
      <c r="K39" s="64">
        <v>8700</v>
      </c>
      <c r="L39" s="63">
        <f t="shared" si="73"/>
        <v>3000</v>
      </c>
      <c r="M39" s="65">
        <f t="shared" si="78"/>
        <v>0.395256916996047</v>
      </c>
      <c r="N39" s="66">
        <v>10000</v>
      </c>
      <c r="O39" s="67">
        <f t="shared" si="74"/>
        <v>3000</v>
      </c>
      <c r="P39" s="139">
        <v>800</v>
      </c>
      <c r="Q39" s="140">
        <f t="shared" si="75"/>
        <v>7600</v>
      </c>
      <c r="R39" s="63">
        <f t="shared" si="79"/>
        <v>8400</v>
      </c>
      <c r="S39" s="63">
        <f t="shared" si="80"/>
        <v>9200</v>
      </c>
      <c r="T39" s="66">
        <f t="shared" si="81"/>
        <v>10000</v>
      </c>
      <c r="U39" s="63">
        <f t="shared" si="82"/>
        <v>10800</v>
      </c>
      <c r="V39" s="63">
        <f t="shared" si="83"/>
        <v>11600</v>
      </c>
      <c r="W39" s="67">
        <f t="shared" si="84"/>
        <v>12400</v>
      </c>
      <c r="X39" s="165" t="s">
        <v>44</v>
      </c>
      <c r="Y39" s="140">
        <f t="shared" si="85"/>
        <v>303600</v>
      </c>
      <c r="Z39" s="166">
        <v>25300</v>
      </c>
      <c r="AA39" s="141">
        <f t="shared" si="86"/>
        <v>22900</v>
      </c>
      <c r="AB39" s="142">
        <f t="shared" si="87"/>
        <v>23700</v>
      </c>
      <c r="AC39" s="142">
        <f t="shared" si="88"/>
        <v>24500</v>
      </c>
      <c r="AD39" s="143">
        <f t="shared" si="89"/>
        <v>25300</v>
      </c>
      <c r="AE39" s="142">
        <f t="shared" si="90"/>
        <v>26100</v>
      </c>
      <c r="AF39" s="142">
        <f t="shared" si="91"/>
        <v>26900</v>
      </c>
      <c r="AG39" s="144">
        <f t="shared" si="92"/>
        <v>27700</v>
      </c>
      <c r="AH39" s="82">
        <f t="shared" si="93"/>
        <v>0.260869565217391</v>
      </c>
      <c r="AI39" s="76">
        <f t="shared" si="94"/>
        <v>0.343873517786561</v>
      </c>
      <c r="AJ39" s="77">
        <f t="shared" si="95"/>
        <v>0.395256916996047</v>
      </c>
    </row>
    <row r="40" s="4" customFormat="1" ht="18.95" customHeight="1" spans="1:37">
      <c r="A40" s="44" t="s">
        <v>45</v>
      </c>
      <c r="B40" s="26" t="s">
        <v>57</v>
      </c>
      <c r="C40" s="33"/>
      <c r="D40" s="51" t="str">
        <f t="shared" si="76"/>
        <v>Ⅱ类L1</v>
      </c>
      <c r="E40" s="44" t="s">
        <v>29</v>
      </c>
      <c r="F40" s="46" t="s">
        <v>30</v>
      </c>
      <c r="G40" s="26" t="e" cm="1">
        <f t="array" ref="G40">INDEX(#REF!,MATCH(E40,#REF!,0),MATCH(F40,#REF!,0))</f>
        <v>#REF!</v>
      </c>
      <c r="H40" s="28" t="e">
        <f t="shared" si="77"/>
        <v>#REF!</v>
      </c>
      <c r="I40" s="29">
        <v>4400</v>
      </c>
      <c r="J40" s="46" t="s">
        <v>31</v>
      </c>
      <c r="K40" s="48">
        <v>300</v>
      </c>
      <c r="L40" s="46"/>
      <c r="M40" s="31">
        <f t="shared" si="78"/>
        <v>0.328571428571429</v>
      </c>
      <c r="N40" s="32">
        <v>2300</v>
      </c>
      <c r="O40" s="33"/>
      <c r="P40" s="111">
        <v>300</v>
      </c>
      <c r="Q40" s="46">
        <v>0</v>
      </c>
      <c r="R40" s="46">
        <f t="shared" si="79"/>
        <v>1700</v>
      </c>
      <c r="S40" s="46">
        <f t="shared" si="80"/>
        <v>2000</v>
      </c>
      <c r="T40" s="50">
        <f t="shared" si="81"/>
        <v>2300</v>
      </c>
      <c r="U40" s="46">
        <f t="shared" si="82"/>
        <v>2600</v>
      </c>
      <c r="V40" s="46">
        <f t="shared" si="83"/>
        <v>2900</v>
      </c>
      <c r="W40" s="51">
        <f t="shared" si="84"/>
        <v>3200</v>
      </c>
      <c r="X40" s="161" t="s">
        <v>32</v>
      </c>
      <c r="Y40" s="105">
        <f t="shared" si="85"/>
        <v>84000</v>
      </c>
      <c r="Z40" s="46">
        <v>7000</v>
      </c>
      <c r="AA40" s="106">
        <f t="shared" si="86"/>
        <v>4700</v>
      </c>
      <c r="AB40" s="4">
        <f t="shared" si="87"/>
        <v>6400</v>
      </c>
      <c r="AC40" s="4">
        <f t="shared" si="88"/>
        <v>6700</v>
      </c>
      <c r="AD40" s="107">
        <f t="shared" si="89"/>
        <v>7000</v>
      </c>
      <c r="AE40" s="4">
        <f t="shared" si="90"/>
        <v>7300</v>
      </c>
      <c r="AF40" s="4">
        <f t="shared" si="91"/>
        <v>7600</v>
      </c>
      <c r="AG40" s="108">
        <f t="shared" si="92"/>
        <v>7900</v>
      </c>
      <c r="AH40" s="41">
        <f t="shared" si="93"/>
        <v>0.628571428571429</v>
      </c>
      <c r="AI40" s="58">
        <f t="shared" si="94"/>
        <v>0.0428571428571429</v>
      </c>
      <c r="AJ40" s="43">
        <f t="shared" si="95"/>
        <v>0.328571428571429</v>
      </c>
    </row>
    <row r="41" s="4" customFormat="1" ht="18.95" customHeight="1" spans="1:37">
      <c r="A41" s="44" t="s">
        <v>45</v>
      </c>
      <c r="B41" s="44"/>
      <c r="C41" s="51"/>
      <c r="D41" s="51" t="str">
        <f t="shared" si="76"/>
        <v>Ⅱ类L2</v>
      </c>
      <c r="E41" s="44" t="s">
        <v>29</v>
      </c>
      <c r="F41" s="46" t="s">
        <v>34</v>
      </c>
      <c r="G41" s="44" t="e" cm="1">
        <f t="array" ref="G41">INDEX(#REF!,MATCH(E41,#REF!,0),MATCH(F41,#REF!,0))</f>
        <v>#REF!</v>
      </c>
      <c r="H41" s="46" t="e">
        <f t="shared" si="77"/>
        <v>#REF!</v>
      </c>
      <c r="I41" s="47">
        <v>4800</v>
      </c>
      <c r="J41" s="46" t="s">
        <v>35</v>
      </c>
      <c r="K41" s="48">
        <v>1000</v>
      </c>
      <c r="L41" s="46">
        <f t="shared" ref="L41:L49" si="96">K41-K40</f>
        <v>700</v>
      </c>
      <c r="M41" s="49">
        <f t="shared" si="78"/>
        <v>0.362637362637363</v>
      </c>
      <c r="N41" s="50">
        <v>3300</v>
      </c>
      <c r="O41" s="51">
        <f t="shared" ref="O41:O49" si="97">N41-N40</f>
        <v>1000</v>
      </c>
      <c r="P41" s="111">
        <v>400</v>
      </c>
      <c r="Q41" s="105">
        <f t="shared" ref="Q41:Q49" si="98">R41-P41</f>
        <v>2100</v>
      </c>
      <c r="R41" s="46">
        <f t="shared" si="79"/>
        <v>2500</v>
      </c>
      <c r="S41" s="46">
        <f t="shared" si="80"/>
        <v>2900</v>
      </c>
      <c r="T41" s="50">
        <f t="shared" si="81"/>
        <v>3300</v>
      </c>
      <c r="U41" s="46">
        <f t="shared" si="82"/>
        <v>3700</v>
      </c>
      <c r="V41" s="46">
        <f t="shared" si="83"/>
        <v>4100</v>
      </c>
      <c r="W41" s="51">
        <f t="shared" si="84"/>
        <v>4500</v>
      </c>
      <c r="X41" s="161" t="s">
        <v>36</v>
      </c>
      <c r="Y41" s="105">
        <f t="shared" si="85"/>
        <v>109200</v>
      </c>
      <c r="Z41" s="46">
        <v>9000</v>
      </c>
      <c r="AA41" s="106">
        <f t="shared" si="86"/>
        <v>7900</v>
      </c>
      <c r="AB41" s="4">
        <f t="shared" si="87"/>
        <v>8300</v>
      </c>
      <c r="AC41" s="4">
        <f t="shared" si="88"/>
        <v>8700</v>
      </c>
      <c r="AD41" s="107">
        <f t="shared" si="89"/>
        <v>9100</v>
      </c>
      <c r="AE41" s="4">
        <f t="shared" si="90"/>
        <v>9500</v>
      </c>
      <c r="AF41" s="4">
        <f t="shared" si="91"/>
        <v>9900</v>
      </c>
      <c r="AG41" s="108">
        <f t="shared" si="92"/>
        <v>10300</v>
      </c>
      <c r="AH41" s="41">
        <f t="shared" si="93"/>
        <v>0.527472527472527</v>
      </c>
      <c r="AI41" s="58">
        <f t="shared" si="94"/>
        <v>0.10989010989011</v>
      </c>
      <c r="AJ41" s="43">
        <f t="shared" si="95"/>
        <v>0.362637362637363</v>
      </c>
    </row>
    <row r="42" s="4" customFormat="1" ht="18.95" customHeight="1" spans="1:37">
      <c r="A42" s="61" t="s">
        <v>45</v>
      </c>
      <c r="B42" s="61"/>
      <c r="C42" s="67"/>
      <c r="D42" s="67" t="str">
        <f t="shared" si="76"/>
        <v>Ⅱ类L3</v>
      </c>
      <c r="E42" s="61" t="s">
        <v>29</v>
      </c>
      <c r="F42" s="63" t="s">
        <v>37</v>
      </c>
      <c r="G42" s="61" t="e" cm="1">
        <f t="array" ref="G42">INDEX(#REF!,MATCH(E42,#REF!,0),MATCH(F42,#REF!,0))</f>
        <v>#REF!</v>
      </c>
      <c r="H42" s="63" t="e">
        <f t="shared" si="77"/>
        <v>#REF!</v>
      </c>
      <c r="I42" s="80">
        <v>5600</v>
      </c>
      <c r="J42" s="63" t="s">
        <v>38</v>
      </c>
      <c r="K42" s="64">
        <v>2700</v>
      </c>
      <c r="L42" s="63">
        <f t="shared" si="96"/>
        <v>1700</v>
      </c>
      <c r="M42" s="65">
        <f t="shared" si="78"/>
        <v>0.361538461538462</v>
      </c>
      <c r="N42" s="66">
        <v>4700</v>
      </c>
      <c r="O42" s="67">
        <f t="shared" si="97"/>
        <v>1400</v>
      </c>
      <c r="P42" s="139">
        <v>500</v>
      </c>
      <c r="Q42" s="140">
        <f t="shared" si="98"/>
        <v>3200</v>
      </c>
      <c r="R42" s="63">
        <f t="shared" si="79"/>
        <v>3700</v>
      </c>
      <c r="S42" s="63">
        <f t="shared" si="80"/>
        <v>4200</v>
      </c>
      <c r="T42" s="66">
        <f t="shared" si="81"/>
        <v>4700</v>
      </c>
      <c r="U42" s="63">
        <f t="shared" si="82"/>
        <v>5200</v>
      </c>
      <c r="V42" s="63">
        <f t="shared" si="83"/>
        <v>5700</v>
      </c>
      <c r="W42" s="67">
        <f t="shared" si="84"/>
        <v>6200</v>
      </c>
      <c r="X42" s="165" t="s">
        <v>39</v>
      </c>
      <c r="Y42" s="140">
        <f t="shared" si="85"/>
        <v>156000</v>
      </c>
      <c r="Z42" s="63">
        <v>13000</v>
      </c>
      <c r="AA42" s="141">
        <f t="shared" si="86"/>
        <v>11500</v>
      </c>
      <c r="AB42" s="142">
        <f t="shared" si="87"/>
        <v>12000</v>
      </c>
      <c r="AC42" s="142">
        <f t="shared" si="88"/>
        <v>12500</v>
      </c>
      <c r="AD42" s="143">
        <f t="shared" si="89"/>
        <v>13000</v>
      </c>
      <c r="AE42" s="142">
        <f t="shared" si="90"/>
        <v>13500</v>
      </c>
      <c r="AF42" s="142">
        <f t="shared" si="91"/>
        <v>14000</v>
      </c>
      <c r="AG42" s="144">
        <f t="shared" si="92"/>
        <v>14500</v>
      </c>
      <c r="AH42" s="82">
        <f t="shared" si="93"/>
        <v>0.430769230769231</v>
      </c>
      <c r="AI42" s="76">
        <f t="shared" si="94"/>
        <v>0.207692307692308</v>
      </c>
      <c r="AJ42" s="77">
        <f t="shared" si="95"/>
        <v>0.361538461538462</v>
      </c>
    </row>
    <row r="43" ht="16.35" spans="1:37">
      <c r="I43" s="146"/>
      <c r="N43" s="146"/>
      <c r="T43" s="147"/>
      <c r="AH43" s="4"/>
      <c r="AI43" s="4"/>
      <c r="AJ43" s="4"/>
      <c r="AK43" s="4"/>
    </row>
    <row r="44" s="3" customFormat="1" ht="47.55" spans="1:37">
      <c r="A44" s="83" t="s">
        <v>0</v>
      </c>
      <c r="B44" s="86" t="s">
        <v>0</v>
      </c>
      <c r="C44" s="86"/>
      <c r="D44" s="85" t="s">
        <v>1</v>
      </c>
      <c r="E44" s="86" t="s">
        <v>2</v>
      </c>
      <c r="F44" s="86" t="s">
        <v>3</v>
      </c>
      <c r="G44" s="12" t="s">
        <v>47</v>
      </c>
      <c r="H44" s="12" t="s">
        <v>5</v>
      </c>
      <c r="I44" s="87" t="s">
        <v>6</v>
      </c>
      <c r="J44" s="88" t="s">
        <v>7</v>
      </c>
      <c r="K44" s="89" t="s">
        <v>8</v>
      </c>
      <c r="L44" s="90" t="s">
        <v>9</v>
      </c>
      <c r="M44" s="17" t="s">
        <v>10</v>
      </c>
      <c r="N44" s="18" t="s">
        <v>11</v>
      </c>
      <c r="O44" s="91" t="s">
        <v>12</v>
      </c>
      <c r="P44" s="92" t="s">
        <v>13</v>
      </c>
      <c r="Q44" s="93" t="s">
        <v>14</v>
      </c>
      <c r="R44" s="93" t="s">
        <v>15</v>
      </c>
      <c r="S44" s="93" t="s">
        <v>16</v>
      </c>
      <c r="T44" s="93" t="s">
        <v>17</v>
      </c>
      <c r="U44" s="94" t="s">
        <v>18</v>
      </c>
      <c r="V44" s="94" t="s">
        <v>19</v>
      </c>
      <c r="W44" s="95" t="s">
        <v>20</v>
      </c>
      <c r="X44" s="96" t="s">
        <v>21</v>
      </c>
      <c r="Y44" s="97" t="s">
        <v>22</v>
      </c>
      <c r="Z44" s="98" t="s">
        <v>23</v>
      </c>
      <c r="AA44" s="99" t="s">
        <v>24</v>
      </c>
      <c r="AB44" s="84"/>
      <c r="AC44" s="84"/>
      <c r="AD44" s="84"/>
      <c r="AE44" s="84"/>
      <c r="AF44" s="84"/>
      <c r="AG44" s="87"/>
      <c r="AH44" s="100" t="s">
        <v>25</v>
      </c>
      <c r="AI44" s="84"/>
      <c r="AJ44" s="84"/>
    </row>
    <row r="45" s="4" customFormat="1" ht="18.95" customHeight="1" spans="1:37">
      <c r="A45" s="44" t="s">
        <v>26</v>
      </c>
      <c r="B45" s="167" t="s">
        <v>58</v>
      </c>
      <c r="C45" s="168"/>
      <c r="D45" s="51" t="str">
        <f t="shared" ref="D45:D52" si="99">A45&amp;J45</f>
        <v>Ⅰ类L1</v>
      </c>
      <c r="E45" s="44" t="s">
        <v>29</v>
      </c>
      <c r="F45" s="46" t="s">
        <v>30</v>
      </c>
      <c r="G45" s="26" t="e" cm="1">
        <f t="array" ref="G45">INDEX(#REF!,MATCH(E45,#REF!,0),MATCH(F45,#REF!,0))</f>
        <v>#REF!</v>
      </c>
      <c r="H45" s="28" t="e">
        <f t="shared" ref="H45:H52" si="100">IF(G45=I45,1,0)</f>
        <v>#REF!</v>
      </c>
      <c r="I45" s="29">
        <v>4400</v>
      </c>
      <c r="J45" s="46" t="s">
        <v>31</v>
      </c>
      <c r="K45" s="48">
        <v>1200</v>
      </c>
      <c r="L45" s="46"/>
      <c r="M45" s="31">
        <f t="shared" ref="M45:M52" si="101">N45/Z45</f>
        <v>0.3</v>
      </c>
      <c r="N45" s="32">
        <v>2400</v>
      </c>
      <c r="O45" s="33"/>
      <c r="P45" s="111">
        <v>300</v>
      </c>
      <c r="Q45" s="105">
        <v>0</v>
      </c>
      <c r="R45" s="46">
        <f t="shared" ref="R45:R52" si="102">S45-P45</f>
        <v>1800</v>
      </c>
      <c r="S45" s="46">
        <f t="shared" ref="S45:S52" si="103">T45-P45</f>
        <v>2100</v>
      </c>
      <c r="T45" s="50">
        <f t="shared" ref="T45:T52" si="104">N45</f>
        <v>2400</v>
      </c>
      <c r="U45" s="46">
        <f t="shared" ref="U45:U52" si="105">T45+P45</f>
        <v>2700</v>
      </c>
      <c r="V45" s="46">
        <f t="shared" ref="V45:V52" si="106">U45+P45</f>
        <v>3000</v>
      </c>
      <c r="W45" s="51">
        <f t="shared" ref="W45:W52" si="107">V45+P45</f>
        <v>3300</v>
      </c>
      <c r="X45" s="169" t="s">
        <v>32</v>
      </c>
      <c r="Y45" s="127">
        <f t="shared" ref="Y45:Y52" si="108">AD45*12</f>
        <v>96000</v>
      </c>
      <c r="Z45" s="28">
        <v>8000</v>
      </c>
      <c r="AA45" s="106">
        <f t="shared" ref="AA45:AA52" si="109">I45+K45+Q45</f>
        <v>5600</v>
      </c>
      <c r="AB45" s="4">
        <f t="shared" ref="AB45:AB52" si="110">I45+K45+R45</f>
        <v>7400</v>
      </c>
      <c r="AC45" s="4">
        <f t="shared" ref="AC45:AC52" si="111">I45+K45+S45</f>
        <v>7700</v>
      </c>
      <c r="AD45" s="107">
        <f t="shared" ref="AD45:AD52" si="112">I45+K45+T45</f>
        <v>8000</v>
      </c>
      <c r="AE45" s="4">
        <f t="shared" ref="AE45:AE52" si="113">I45+K45+U45</f>
        <v>8300</v>
      </c>
      <c r="AF45" s="4">
        <f t="shared" ref="AF45:AF52" si="114">I45+K45+V45</f>
        <v>8600</v>
      </c>
      <c r="AG45" s="108">
        <f t="shared" ref="AG45:AG52" si="115">I45+K45+W45</f>
        <v>8900</v>
      </c>
      <c r="AH45" s="132">
        <f t="shared" ref="AH45:AH52" si="116">I45/AD45</f>
        <v>0.55</v>
      </c>
      <c r="AI45" s="133">
        <f t="shared" ref="AI45:AI52" si="117">K45/AD45</f>
        <v>0.15</v>
      </c>
      <c r="AJ45" s="134">
        <f t="shared" ref="AJ45:AJ52" si="118">T45/AD45</f>
        <v>0.3</v>
      </c>
    </row>
    <row r="46" s="4" customFormat="1" ht="18.95" customHeight="1" spans="1:37">
      <c r="A46" s="44" t="s">
        <v>26</v>
      </c>
      <c r="B46" s="170"/>
      <c r="C46" s="171"/>
      <c r="D46" s="51" t="str">
        <f t="shared" si="99"/>
        <v>Ⅰ类L2</v>
      </c>
      <c r="E46" s="44" t="s">
        <v>29</v>
      </c>
      <c r="F46" s="103" t="s">
        <v>34</v>
      </c>
      <c r="G46" s="44" t="e" cm="1">
        <f t="array" ref="G46">INDEX(#REF!,MATCH(E46,#REF!,0),MATCH(F46,#REF!,0))</f>
        <v>#REF!</v>
      </c>
      <c r="H46" s="46" t="e">
        <f t="shared" si="100"/>
        <v>#REF!</v>
      </c>
      <c r="I46" s="47">
        <v>4800</v>
      </c>
      <c r="J46" s="46" t="s">
        <v>35</v>
      </c>
      <c r="K46" s="48">
        <v>2600</v>
      </c>
      <c r="L46" s="46">
        <f t="shared" si="96"/>
        <v>1400</v>
      </c>
      <c r="M46" s="49">
        <f t="shared" si="101"/>
        <v>0.327272727272727</v>
      </c>
      <c r="N46" s="50">
        <v>3600</v>
      </c>
      <c r="O46" s="51">
        <f t="shared" si="97"/>
        <v>1200</v>
      </c>
      <c r="P46" s="111">
        <v>500</v>
      </c>
      <c r="Q46" s="105">
        <f t="shared" si="98"/>
        <v>2100</v>
      </c>
      <c r="R46" s="46">
        <f t="shared" si="102"/>
        <v>2600</v>
      </c>
      <c r="S46" s="46">
        <f t="shared" si="103"/>
        <v>3100</v>
      </c>
      <c r="T46" s="50">
        <f t="shared" si="104"/>
        <v>3600</v>
      </c>
      <c r="U46" s="46">
        <f t="shared" si="105"/>
        <v>4100</v>
      </c>
      <c r="V46" s="46">
        <f t="shared" si="106"/>
        <v>4600</v>
      </c>
      <c r="W46" s="51">
        <f t="shared" si="107"/>
        <v>5100</v>
      </c>
      <c r="X46" s="161" t="s">
        <v>36</v>
      </c>
      <c r="Y46" s="105">
        <f t="shared" si="108"/>
        <v>132000</v>
      </c>
      <c r="Z46" s="46">
        <v>11000</v>
      </c>
      <c r="AA46" s="106">
        <f t="shared" si="109"/>
        <v>9500</v>
      </c>
      <c r="AB46" s="4">
        <f t="shared" si="110"/>
        <v>10000</v>
      </c>
      <c r="AC46" s="4">
        <f t="shared" si="111"/>
        <v>10500</v>
      </c>
      <c r="AD46" s="107">
        <f t="shared" si="112"/>
        <v>11000</v>
      </c>
      <c r="AE46" s="4">
        <f t="shared" si="113"/>
        <v>11500</v>
      </c>
      <c r="AF46" s="4">
        <f t="shared" si="114"/>
        <v>12000</v>
      </c>
      <c r="AG46" s="108">
        <f t="shared" si="115"/>
        <v>12500</v>
      </c>
      <c r="AH46" s="41">
        <f t="shared" si="116"/>
        <v>0.436363636363636</v>
      </c>
      <c r="AI46" s="58">
        <f t="shared" si="117"/>
        <v>0.236363636363636</v>
      </c>
      <c r="AJ46" s="43">
        <f t="shared" si="118"/>
        <v>0.327272727272727</v>
      </c>
    </row>
    <row r="47" s="4" customFormat="1" ht="18.95" customHeight="1" spans="1:37">
      <c r="A47" s="44" t="s">
        <v>26</v>
      </c>
      <c r="B47" s="170"/>
      <c r="C47" s="171"/>
      <c r="D47" s="51" t="str">
        <f t="shared" si="99"/>
        <v>Ⅰ类L3</v>
      </c>
      <c r="E47" s="44" t="s">
        <v>29</v>
      </c>
      <c r="F47" s="103" t="s">
        <v>37</v>
      </c>
      <c r="G47" s="44" t="e" cm="1">
        <f t="array" ref="G47">INDEX(#REF!,MATCH(E47,#REF!,0),MATCH(F47,#REF!,0))</f>
        <v>#REF!</v>
      </c>
      <c r="H47" s="46" t="e">
        <f t="shared" si="100"/>
        <v>#REF!</v>
      </c>
      <c r="I47" s="47">
        <v>5600</v>
      </c>
      <c r="J47" s="46" t="s">
        <v>38</v>
      </c>
      <c r="K47" s="48">
        <v>4100</v>
      </c>
      <c r="L47" s="59">
        <f t="shared" si="96"/>
        <v>1500</v>
      </c>
      <c r="M47" s="49">
        <f t="shared" si="101"/>
        <v>0.353333333333333</v>
      </c>
      <c r="N47" s="50">
        <v>5300</v>
      </c>
      <c r="O47" s="60">
        <f t="shared" si="97"/>
        <v>1700</v>
      </c>
      <c r="P47" s="111">
        <v>600</v>
      </c>
      <c r="Q47" s="105">
        <f t="shared" si="98"/>
        <v>3500</v>
      </c>
      <c r="R47" s="46">
        <f t="shared" si="102"/>
        <v>4100</v>
      </c>
      <c r="S47" s="46">
        <f t="shared" si="103"/>
        <v>4700</v>
      </c>
      <c r="T47" s="50">
        <f t="shared" si="104"/>
        <v>5300</v>
      </c>
      <c r="U47" s="46">
        <f t="shared" si="105"/>
        <v>5900</v>
      </c>
      <c r="V47" s="46">
        <f t="shared" si="106"/>
        <v>6500</v>
      </c>
      <c r="W47" s="51">
        <f t="shared" si="107"/>
        <v>7100</v>
      </c>
      <c r="X47" s="161" t="s">
        <v>39</v>
      </c>
      <c r="Y47" s="105">
        <f t="shared" si="108"/>
        <v>180000</v>
      </c>
      <c r="Z47" s="118">
        <v>15000</v>
      </c>
      <c r="AA47" s="106">
        <f t="shared" si="109"/>
        <v>13200</v>
      </c>
      <c r="AB47" s="4">
        <f t="shared" si="110"/>
        <v>13800</v>
      </c>
      <c r="AC47" s="4">
        <f t="shared" si="111"/>
        <v>14400</v>
      </c>
      <c r="AD47" s="107">
        <f t="shared" si="112"/>
        <v>15000</v>
      </c>
      <c r="AE47" s="4">
        <f t="shared" si="113"/>
        <v>15600</v>
      </c>
      <c r="AF47" s="4">
        <f t="shared" si="114"/>
        <v>16200</v>
      </c>
      <c r="AG47" s="108">
        <f t="shared" si="115"/>
        <v>16800</v>
      </c>
      <c r="AH47" s="41">
        <f t="shared" si="116"/>
        <v>0.373333333333333</v>
      </c>
      <c r="AI47" s="42">
        <f t="shared" si="117"/>
        <v>0.273333333333333</v>
      </c>
      <c r="AJ47" s="43">
        <f t="shared" si="118"/>
        <v>0.353333333333333</v>
      </c>
    </row>
    <row r="48" s="4" customFormat="1" ht="18.95" customHeight="1" spans="1:37">
      <c r="A48" s="44" t="s">
        <v>26</v>
      </c>
      <c r="B48" s="170"/>
      <c r="C48" s="171"/>
      <c r="D48" s="51" t="str">
        <f t="shared" si="99"/>
        <v>Ⅰ类L4</v>
      </c>
      <c r="E48" s="44" t="s">
        <v>29</v>
      </c>
      <c r="F48" s="103" t="s">
        <v>40</v>
      </c>
      <c r="G48" s="44" t="e" cm="1">
        <f t="array" ref="G48">INDEX(#REF!,MATCH(E48,#REF!,0),MATCH(F48,#REF!,0))</f>
        <v>#REF!</v>
      </c>
      <c r="H48" s="46" t="e">
        <f t="shared" si="100"/>
        <v>#REF!</v>
      </c>
      <c r="I48" s="47">
        <v>6600</v>
      </c>
      <c r="J48" s="46" t="s">
        <v>41</v>
      </c>
      <c r="K48" s="48">
        <v>5700</v>
      </c>
      <c r="L48" s="59">
        <f t="shared" si="96"/>
        <v>1600</v>
      </c>
      <c r="M48" s="49">
        <f t="shared" si="101"/>
        <v>0.35</v>
      </c>
      <c r="N48" s="50">
        <v>7000</v>
      </c>
      <c r="O48" s="60">
        <f t="shared" si="97"/>
        <v>1700</v>
      </c>
      <c r="P48" s="111">
        <v>700</v>
      </c>
      <c r="Q48" s="105">
        <f t="shared" si="98"/>
        <v>4900</v>
      </c>
      <c r="R48" s="46">
        <f t="shared" si="102"/>
        <v>5600</v>
      </c>
      <c r="S48" s="46">
        <f t="shared" si="103"/>
        <v>6300</v>
      </c>
      <c r="T48" s="50">
        <f t="shared" si="104"/>
        <v>7000</v>
      </c>
      <c r="U48" s="46">
        <f t="shared" si="105"/>
        <v>7700</v>
      </c>
      <c r="V48" s="46">
        <f t="shared" si="106"/>
        <v>8400</v>
      </c>
      <c r="W48" s="51">
        <f t="shared" si="107"/>
        <v>9100</v>
      </c>
      <c r="X48" s="161" t="s">
        <v>42</v>
      </c>
      <c r="Y48" s="105">
        <f t="shared" si="108"/>
        <v>231600</v>
      </c>
      <c r="Z48" s="118">
        <v>20000</v>
      </c>
      <c r="AA48" s="106">
        <f t="shared" si="109"/>
        <v>17200</v>
      </c>
      <c r="AB48" s="4">
        <f t="shared" si="110"/>
        <v>17900</v>
      </c>
      <c r="AC48" s="4">
        <f t="shared" si="111"/>
        <v>18600</v>
      </c>
      <c r="AD48" s="107">
        <f t="shared" si="112"/>
        <v>19300</v>
      </c>
      <c r="AE48" s="4">
        <f t="shared" si="113"/>
        <v>20000</v>
      </c>
      <c r="AF48" s="4">
        <f t="shared" si="114"/>
        <v>20700</v>
      </c>
      <c r="AG48" s="108">
        <f t="shared" si="115"/>
        <v>21400</v>
      </c>
      <c r="AH48" s="41">
        <f t="shared" si="116"/>
        <v>0.341968911917098</v>
      </c>
      <c r="AI48" s="42">
        <f t="shared" si="117"/>
        <v>0.295336787564767</v>
      </c>
      <c r="AJ48" s="43">
        <f t="shared" si="118"/>
        <v>0.362694300518135</v>
      </c>
    </row>
    <row r="49" s="4" customFormat="1" ht="18.95" customHeight="1" spans="1:36">
      <c r="A49" s="44" t="s">
        <v>26</v>
      </c>
      <c r="B49" s="172"/>
      <c r="C49" s="173"/>
      <c r="D49" s="51" t="str">
        <f t="shared" si="99"/>
        <v>Ⅰ类L5</v>
      </c>
      <c r="E49" s="61" t="s">
        <v>29</v>
      </c>
      <c r="F49" s="63" t="s">
        <v>40</v>
      </c>
      <c r="G49" s="61" t="e" cm="1">
        <f t="array" ref="G49">INDEX(#REF!,MATCH(E49,#REF!,0),MATCH(F49,#REF!,0))</f>
        <v>#REF!</v>
      </c>
      <c r="H49" s="63" t="e">
        <f t="shared" si="100"/>
        <v>#REF!</v>
      </c>
      <c r="I49" s="80">
        <v>6600</v>
      </c>
      <c r="J49" s="63" t="s">
        <v>43</v>
      </c>
      <c r="K49" s="64">
        <v>8700</v>
      </c>
      <c r="L49" s="46">
        <f t="shared" si="96"/>
        <v>3000</v>
      </c>
      <c r="M49" s="65">
        <f t="shared" si="101"/>
        <v>0.4</v>
      </c>
      <c r="N49" s="66">
        <v>10000</v>
      </c>
      <c r="O49" s="67">
        <f t="shared" si="97"/>
        <v>3000</v>
      </c>
      <c r="P49" s="111">
        <v>800</v>
      </c>
      <c r="Q49" s="105">
        <f t="shared" si="98"/>
        <v>7600</v>
      </c>
      <c r="R49" s="46">
        <f t="shared" si="102"/>
        <v>8400</v>
      </c>
      <c r="S49" s="46">
        <f t="shared" si="103"/>
        <v>9200</v>
      </c>
      <c r="T49" s="50">
        <f t="shared" si="104"/>
        <v>10000</v>
      </c>
      <c r="U49" s="46">
        <f t="shared" si="105"/>
        <v>10800</v>
      </c>
      <c r="V49" s="46">
        <f t="shared" si="106"/>
        <v>11600</v>
      </c>
      <c r="W49" s="51">
        <f t="shared" si="107"/>
        <v>12400</v>
      </c>
      <c r="X49" s="161" t="s">
        <v>44</v>
      </c>
      <c r="Y49" s="105">
        <f t="shared" si="108"/>
        <v>303600</v>
      </c>
      <c r="Z49" s="118">
        <v>25000</v>
      </c>
      <c r="AA49" s="106">
        <f t="shared" si="109"/>
        <v>22900</v>
      </c>
      <c r="AB49" s="4">
        <f t="shared" si="110"/>
        <v>23700</v>
      </c>
      <c r="AC49" s="4">
        <f t="shared" si="111"/>
        <v>24500</v>
      </c>
      <c r="AD49" s="107">
        <f t="shared" si="112"/>
        <v>25300</v>
      </c>
      <c r="AE49" s="4">
        <f t="shared" si="113"/>
        <v>26100</v>
      </c>
      <c r="AF49" s="4">
        <f t="shared" si="114"/>
        <v>26900</v>
      </c>
      <c r="AG49" s="108">
        <f t="shared" si="115"/>
        <v>27700</v>
      </c>
      <c r="AH49" s="41">
        <f t="shared" si="116"/>
        <v>0.260869565217391</v>
      </c>
      <c r="AI49" s="58">
        <f t="shared" si="117"/>
        <v>0.343873517786561</v>
      </c>
      <c r="AJ49" s="43">
        <f t="shared" si="118"/>
        <v>0.395256916996047</v>
      </c>
    </row>
    <row r="50" s="4" customFormat="1" ht="18.95" customHeight="1" spans="1:36">
      <c r="A50" s="26" t="s">
        <v>59</v>
      </c>
      <c r="B50" s="167" t="s">
        <v>60</v>
      </c>
      <c r="C50" s="174"/>
      <c r="D50" s="33" t="str">
        <f t="shared" si="99"/>
        <v>Ⅲ类L1</v>
      </c>
      <c r="E50" s="26" t="s">
        <v>29</v>
      </c>
      <c r="F50" s="28" t="s">
        <v>30</v>
      </c>
      <c r="G50" s="26" t="e" cm="1">
        <f t="array" ref="G50">INDEX(#REF!,MATCH(E50,#REF!,0),MATCH(F50,#REF!,0))</f>
        <v>#REF!</v>
      </c>
      <c r="H50" s="28" t="e">
        <f t="shared" si="100"/>
        <v>#REF!</v>
      </c>
      <c r="I50" s="29">
        <v>4400</v>
      </c>
      <c r="J50" s="28" t="s">
        <v>31</v>
      </c>
      <c r="K50" s="30">
        <v>300</v>
      </c>
      <c r="L50" s="28"/>
      <c r="M50" s="31">
        <f t="shared" si="101"/>
        <v>0.328571428571429</v>
      </c>
      <c r="N50" s="32">
        <v>2300</v>
      </c>
      <c r="O50" s="33"/>
      <c r="P50" s="104">
        <v>300</v>
      </c>
      <c r="Q50" s="127">
        <v>0</v>
      </c>
      <c r="R50" s="28">
        <f t="shared" si="102"/>
        <v>1700</v>
      </c>
      <c r="S50" s="28">
        <f t="shared" si="103"/>
        <v>2000</v>
      </c>
      <c r="T50" s="32">
        <f t="shared" si="104"/>
        <v>2300</v>
      </c>
      <c r="U50" s="28">
        <f t="shared" si="105"/>
        <v>2600</v>
      </c>
      <c r="V50" s="28">
        <f t="shared" si="106"/>
        <v>2900</v>
      </c>
      <c r="W50" s="33">
        <f t="shared" si="107"/>
        <v>3200</v>
      </c>
      <c r="X50" s="169" t="s">
        <v>32</v>
      </c>
      <c r="Y50" s="127">
        <f t="shared" si="108"/>
        <v>84000</v>
      </c>
      <c r="Z50" s="28">
        <f t="shared" ref="Z50:Z52" si="119">AD50</f>
        <v>7000</v>
      </c>
      <c r="AA50" s="128">
        <f t="shared" si="109"/>
        <v>4700</v>
      </c>
      <c r="AB50" s="129">
        <f t="shared" si="110"/>
        <v>6400</v>
      </c>
      <c r="AC50" s="129">
        <f t="shared" si="111"/>
        <v>6700</v>
      </c>
      <c r="AD50" s="130">
        <f t="shared" si="112"/>
        <v>7000</v>
      </c>
      <c r="AE50" s="129">
        <f t="shared" si="113"/>
        <v>7300</v>
      </c>
      <c r="AF50" s="129">
        <f t="shared" si="114"/>
        <v>7600</v>
      </c>
      <c r="AG50" s="131">
        <f t="shared" si="115"/>
        <v>7900</v>
      </c>
      <c r="AH50" s="132">
        <f t="shared" si="116"/>
        <v>0.628571428571429</v>
      </c>
      <c r="AI50" s="133">
        <f t="shared" si="117"/>
        <v>0.0428571428571429</v>
      </c>
      <c r="AJ50" s="134">
        <f t="shared" si="118"/>
        <v>0.328571428571429</v>
      </c>
    </row>
    <row r="51" s="4" customFormat="1" ht="18.95" customHeight="1" spans="1:36">
      <c r="A51" s="44" t="s">
        <v>59</v>
      </c>
      <c r="B51" s="175"/>
      <c r="C51" s="176"/>
      <c r="D51" s="51" t="str">
        <f t="shared" si="99"/>
        <v>Ⅲ类L2</v>
      </c>
      <c r="E51" s="44" t="s">
        <v>29</v>
      </c>
      <c r="F51" s="46" t="s">
        <v>34</v>
      </c>
      <c r="G51" s="44" t="e" cm="1">
        <f t="array" ref="G51">INDEX(#REF!,MATCH(E51,#REF!,0),MATCH(F51,#REF!,0))</f>
        <v>#REF!</v>
      </c>
      <c r="H51" s="46" t="e">
        <f t="shared" si="100"/>
        <v>#REF!</v>
      </c>
      <c r="I51" s="47">
        <v>4800</v>
      </c>
      <c r="J51" s="46" t="s">
        <v>35</v>
      </c>
      <c r="K51" s="48">
        <v>1000</v>
      </c>
      <c r="L51" s="46">
        <f>K51-K50</f>
        <v>700</v>
      </c>
      <c r="M51" s="49">
        <f t="shared" si="101"/>
        <v>0.355555555555556</v>
      </c>
      <c r="N51" s="50">
        <v>3200</v>
      </c>
      <c r="O51" s="51">
        <f>N51-N50</f>
        <v>900</v>
      </c>
      <c r="P51" s="111">
        <v>400</v>
      </c>
      <c r="Q51" s="105">
        <f>R51-P51</f>
        <v>2000</v>
      </c>
      <c r="R51" s="46">
        <f t="shared" si="102"/>
        <v>2400</v>
      </c>
      <c r="S51" s="46">
        <f t="shared" si="103"/>
        <v>2800</v>
      </c>
      <c r="T51" s="50">
        <f t="shared" si="104"/>
        <v>3200</v>
      </c>
      <c r="U51" s="46">
        <f t="shared" si="105"/>
        <v>3600</v>
      </c>
      <c r="V51" s="46">
        <f t="shared" si="106"/>
        <v>4000</v>
      </c>
      <c r="W51" s="51">
        <f t="shared" si="107"/>
        <v>4400</v>
      </c>
      <c r="X51" s="161" t="s">
        <v>36</v>
      </c>
      <c r="Y51" s="105">
        <f t="shared" si="108"/>
        <v>108000</v>
      </c>
      <c r="Z51" s="46">
        <f t="shared" si="119"/>
        <v>9000</v>
      </c>
      <c r="AA51" s="106">
        <f t="shared" si="109"/>
        <v>7800</v>
      </c>
      <c r="AB51" s="4">
        <f t="shared" si="110"/>
        <v>8200</v>
      </c>
      <c r="AC51" s="4">
        <f t="shared" si="111"/>
        <v>8600</v>
      </c>
      <c r="AD51" s="107">
        <f t="shared" si="112"/>
        <v>9000</v>
      </c>
      <c r="AE51" s="4">
        <f t="shared" si="113"/>
        <v>9400</v>
      </c>
      <c r="AF51" s="4">
        <f t="shared" si="114"/>
        <v>9800</v>
      </c>
      <c r="AG51" s="108">
        <f t="shared" si="115"/>
        <v>10200</v>
      </c>
      <c r="AH51" s="41">
        <f t="shared" si="116"/>
        <v>0.533333333333333</v>
      </c>
      <c r="AI51" s="58">
        <f t="shared" si="117"/>
        <v>0.111111111111111</v>
      </c>
      <c r="AJ51" s="43">
        <f t="shared" si="118"/>
        <v>0.355555555555556</v>
      </c>
    </row>
    <row r="52" s="4" customFormat="1" ht="16.95" spans="1:36">
      <c r="A52" s="61" t="s">
        <v>59</v>
      </c>
      <c r="B52" s="177"/>
      <c r="C52" s="178"/>
      <c r="D52" s="67" t="str">
        <f t="shared" si="99"/>
        <v>Ⅲ类L3</v>
      </c>
      <c r="E52" s="61" t="s">
        <v>29</v>
      </c>
      <c r="F52" s="63" t="s">
        <v>37</v>
      </c>
      <c r="G52" s="61" t="e" cm="1">
        <f t="array" ref="G52">INDEX(#REF!,MATCH(E52,#REF!,0),MATCH(F52,#REF!,0))</f>
        <v>#REF!</v>
      </c>
      <c r="H52" s="63" t="e">
        <f t="shared" si="100"/>
        <v>#REF!</v>
      </c>
      <c r="I52" s="80">
        <v>5600</v>
      </c>
      <c r="J52" s="63" t="s">
        <v>38</v>
      </c>
      <c r="K52" s="64">
        <v>2700</v>
      </c>
      <c r="L52" s="63">
        <f>K52-K51</f>
        <v>1700</v>
      </c>
      <c r="M52" s="65">
        <f t="shared" si="101"/>
        <v>0.361538461538462</v>
      </c>
      <c r="N52" s="66">
        <v>4700</v>
      </c>
      <c r="O52" s="67">
        <f>N52-N51</f>
        <v>1500</v>
      </c>
      <c r="P52" s="139">
        <v>500</v>
      </c>
      <c r="Q52" s="140">
        <f>R52-P52</f>
        <v>3200</v>
      </c>
      <c r="R52" s="63">
        <f t="shared" si="102"/>
        <v>3700</v>
      </c>
      <c r="S52" s="63">
        <f t="shared" si="103"/>
        <v>4200</v>
      </c>
      <c r="T52" s="66">
        <f t="shared" si="104"/>
        <v>4700</v>
      </c>
      <c r="U52" s="63">
        <f t="shared" si="105"/>
        <v>5200</v>
      </c>
      <c r="V52" s="63">
        <f t="shared" si="106"/>
        <v>5700</v>
      </c>
      <c r="W52" s="67">
        <f t="shared" si="107"/>
        <v>6200</v>
      </c>
      <c r="X52" s="165" t="s">
        <v>39</v>
      </c>
      <c r="Y52" s="140">
        <f t="shared" si="108"/>
        <v>156000</v>
      </c>
      <c r="Z52" s="63">
        <f t="shared" si="119"/>
        <v>13000</v>
      </c>
      <c r="AA52" s="141">
        <f t="shared" si="109"/>
        <v>11500</v>
      </c>
      <c r="AB52" s="142">
        <f t="shared" si="110"/>
        <v>12000</v>
      </c>
      <c r="AC52" s="142">
        <f t="shared" si="111"/>
        <v>12500</v>
      </c>
      <c r="AD52" s="143">
        <f t="shared" si="112"/>
        <v>13000</v>
      </c>
      <c r="AE52" s="142">
        <f t="shared" si="113"/>
        <v>13500</v>
      </c>
      <c r="AF52" s="142">
        <f t="shared" si="114"/>
        <v>14000</v>
      </c>
      <c r="AG52" s="144">
        <f t="shared" si="115"/>
        <v>14500</v>
      </c>
      <c r="AH52" s="82">
        <f t="shared" si="116"/>
        <v>0.430769230769231</v>
      </c>
      <c r="AI52" s="76">
        <f t="shared" si="117"/>
        <v>0.207692307692308</v>
      </c>
      <c r="AJ52" s="77">
        <f t="shared" si="118"/>
        <v>0.361538461538462</v>
      </c>
    </row>
  </sheetData>
  <mergeCells count="33">
    <mergeCell ref="B1:C1"/>
    <mergeCell ref="AA1:AG1"/>
    <mergeCell ref="AH1:AJ1"/>
    <mergeCell ref="B13:C13"/>
    <mergeCell ref="AA13:AG13"/>
    <mergeCell ref="AH13:AJ13"/>
    <mergeCell ref="B23:C23"/>
    <mergeCell ref="AA23:AG23"/>
    <mergeCell ref="AH23:AJ23"/>
    <mergeCell ref="B33:C33"/>
    <mergeCell ref="AA33:AG33"/>
    <mergeCell ref="AH33:AJ33"/>
    <mergeCell ref="B44:C44"/>
    <mergeCell ref="AA44:AG44"/>
    <mergeCell ref="AH44:AJ44"/>
    <mergeCell ref="A24:A28"/>
    <mergeCell ref="A29:A31"/>
    <mergeCell ref="B2:B7"/>
    <mergeCell ref="B14:B17"/>
    <mergeCell ref="B18:B19"/>
    <mergeCell ref="B20:B21"/>
    <mergeCell ref="B34:B37"/>
    <mergeCell ref="B38:B39"/>
    <mergeCell ref="C2:C7"/>
    <mergeCell ref="C14:C19"/>
    <mergeCell ref="C20:C21"/>
    <mergeCell ref="C34:C39"/>
    <mergeCell ref="B8:C11"/>
    <mergeCell ref="B24:C28"/>
    <mergeCell ref="B29:C31"/>
    <mergeCell ref="B40:C42"/>
    <mergeCell ref="B45:C49"/>
    <mergeCell ref="B50:C5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薪酬设计总览-2026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E626熊伟</dc:creator>
  <cp:lastModifiedBy>Bear</cp:lastModifiedBy>
  <dcterms:created xsi:type="dcterms:W3CDTF">2023-05-12T11:15:00Z</dcterms:created>
  <dcterms:modified xsi:type="dcterms:W3CDTF">2026-08-01T02:38:19Z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D2B4936FA6F14CE998345968C5BBA058_12</vt:lpwstr>
  </property>
  <property fmtid="{D5CDD505-2E9C-101B-9397-08002B2CF9AE}" pid="4" name="CalculationRule">
    <vt:i4>0</vt:i4>
  </property>
</Properties>
</file>